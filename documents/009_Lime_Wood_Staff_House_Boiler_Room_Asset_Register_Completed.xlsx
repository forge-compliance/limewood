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94d8e0431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er" sheetId="1" r:id="Rfdba51c0bed64ddb"/>
    <x:sheet xmlns:r="http://schemas.openxmlformats.org/officeDocument/2006/relationships" name="How to Use" sheetId="2" r:id="Rce4007b2e31d4a8c"/>
    <x:sheet xmlns:r="http://schemas.openxmlformats.org/officeDocument/2006/relationships" name="Asset Summary" sheetId="3" r:id="R5a1037e014cf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color theme="1"/>
      <x:name val="Calibri"/>
    </x:font>
    <x:font>
      <x:b/>
      <x:sz val="11"/>
      <x:color rgb="FFFFFFFF"/>
      <x:name val="Calibri"/>
    </x:font>
    <x:font>
      <x:b/>
      <x:sz val="14"/>
      <x:name val="Calibri"/>
    </x:font>
    <x:font>
      <x:b/>
      <x:sz val="16"/>
      <x:color rgb="FFFFFFFF"/>
      <x:name val="Calibri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A9D18E"/>
      </x:patternFill>
    </x:fill>
  </x:fills>
  <x:borders count="14">
    <x:border/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2" borderId="0" xfId="0" applyFont="1" applyFill="1"/>
    <x:xf numFmtId="0" fontId="2" fillId="0" borderId="0" xfId="0" applyFont="1"/>
    <x:xf numFmtId="13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13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3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3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/>
    <x:xf numFmtId="0" fontId="0" fillId="0" borderId="5" xfId="0" applyNumberFormat="1" applyFont="1" applyFill="1" applyBorder="1"/>
    <x:xf numFmtId="0" fontId="4" fillId="5" borderId="6" xfId="0" applyNumberFormat="1" applyFont="1" applyFill="1" applyBorder="1"/>
    <x:xf numFmtId="0" fontId="0" fillId="0" borderId="7" xfId="0" applyNumberFormat="1" applyFont="1" applyFill="1" applyBorder="1"/>
    <x:xf numFmtId="0" fontId="1" fillId="4" borderId="8" xfId="0" applyNumberFormat="1" applyFont="1" applyFill="1" applyBorder="1" applyAlignment="1">
      <x:alignment horizontal="center"/>
    </x:xf>
    <x:xf numFmtId="0" fontId="1" fillId="4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0" fillId="0" borderId="11" xfId="0" applyNumberFormat="1" applyFont="1" applyFill="1" applyBorder="1"/>
    <x:xf numFmtId="0" fontId="4" fillId="5" borderId="12" xfId="0" applyNumberFormat="1" applyFont="1" applyFill="1" applyBorder="1"/>
    <x:xf numFmtId="0" fontId="0" fillId="0" borderId="13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E06666"/>
        </x:patternFill>
      </x:fill>
    </x:dxf>
    <x:dxf>
      <x:fill>
        <x:patternFill patternType="solid">
          <x:bgColor rgb="FFFCE5CD"/>
        </x:patternFill>
      </x:fill>
    </x:dxf>
    <x:dxf>
      <x:font>
        <x:b/>
        <x:color rgb="FFFFFFFF"/>
      </x:font>
      <x:fill>
        <x:patternFill patternType="solid">
          <x:bgColor rgb="FFE06666"/>
        </x:patternFill>
      </x:fill>
    </x:dxf>
    <x:dxf>
      <x:font>
        <x:b/>
        <x:color rgb="FFFFFFFF"/>
      </x:font>
      <x:fill>
        <x:patternFill patternType="solid">
          <x:bgColor rgb="FFE06666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75d82a273480b" /><Relationship Type="http://schemas.openxmlformats.org/officeDocument/2006/relationships/theme" Target="/xl/theme/theme1.xml" Id="R6fb7696d86104e97" /><Relationship Type="http://schemas.openxmlformats.org/officeDocument/2006/relationships/sharedStrings" Target="/xl/sharedStrings.xml" Id="R214ba02c48914877" /><Relationship Type="http://schemas.openxmlformats.org/officeDocument/2006/relationships/worksheet" Target="/xl/worksheets/sheet1.xml" Id="Rfdba51c0bed64ddb" /><Relationship Type="http://schemas.openxmlformats.org/officeDocument/2006/relationships/worksheet" Target="/xl/worksheets/sheet2.xml" Id="Rce4007b2e31d4a8c" /><Relationship Type="http://schemas.openxmlformats.org/officeDocument/2006/relationships/worksheet" Target="/xl/worksheets/sheet3.xml" Id="R5a1037e014cf44e4" /></Relationships>
</file>

<file path=xl/tables/table1.xml><?xml version="1.0" encoding="utf-8"?>
<x:table xmlns:x="http://schemas.openxmlformats.org/spreadsheetml/2006/main" id="1" name="StaffHouseAssets" displayName="StaffHouseAssets" ref="A1:AC27" headerRowCount="1">
  <x:tableColumns count="29">
    <x:tableColumn id="1" name="Asset ID"/>
    <x:tableColumn id="2" name="Plant Room / Area"/>
    <x:tableColumn id="3" name="System"/>
    <x:tableColumn id="4" name="Equipment Type"/>
    <x:tableColumn id="5" name="Asset Tag / Name"/>
    <x:tableColumn id="6" name="Manufacturer"/>
    <x:tableColumn id="7" name="Model"/>
    <x:tableColumn id="8" name="Serial Number"/>
    <x:tableColumn id="9" name="Service / Duty"/>
    <x:tableColumn id="10" name="Pipe Size"/>
    <x:tableColumn id="11" name="Electrical Supply"/>
    <x:tableColumn id="12" name="Exact Location"/>
    <x:tableColumn id="13" name="Condition"/>
    <x:tableColumn id="14" name="Criticality"/>
    <x:tableColumn id="15" name="Operational Status"/>
    <x:tableColumn id="16" name="PPM Frequency"/>
    <x:tableColumn id="17" name="Statutory / Compliance Requirement"/>
    <x:tableColumn id="18" name="Last Service Date"/>
    <x:tableColumn id="19" name="Next Service Due"/>
    <x:tableColumn id="20" name="Service Provider"/>
    <x:tableColumn id="21" name="Warranty Expiry"/>
    <x:tableColumn id="22" name="Install / Commission Date"/>
    <x:tableColumn id="23" name="Isolation Reference"/>
    <x:tableColumn id="24" name="BMS / Controls Reference"/>
    <x:tableColumn id="25" name="Photo Reference"/>
    <x:tableColumn id="26" name="O&amp;M / Manual Reference"/>
    <x:tableColumn id="27" name="Replacement Priority"/>
    <x:tableColumn id="28" name="Estimated Replacement Year"/>
    <x:tableColumn id="29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ad5636e18941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2" hidden="0" customWidth="1"/>
    <x:col min="4" max="4" width="19" hidden="0" customWidth="1"/>
    <x:col min="5" max="5" width="16" hidden="0" customWidth="1"/>
    <x:col min="6" max="8" width="18.0234375" customWidth="1"/>
    <x:col min="9" max="9" width="24" hidden="0" customWidth="1"/>
    <x:col min="10" max="10" width="11" hidden="0" customWidth="1"/>
    <x:col min="11" max="11" width="16" hidden="0" customWidth="1"/>
    <x:col min="12" max="12" width="18" hidden="0" customWidth="1"/>
    <x:col min="13" max="13" width="14" hidden="0" customWidth="1"/>
    <x:col min="14" max="14" width="12" hidden="0" customWidth="1"/>
    <x:col min="15" max="15" width="18" hidden="0" customWidth="1"/>
    <x:col min="16" max="16" width="22" hidden="0" customWidth="1"/>
    <x:col min="17" max="17" width="38" hidden="0" customWidth="1"/>
    <x:col min="6" max="6" width="15" hidden="0" customWidth="1"/>
    <x:col min="7" max="7" width="24" hidden="0" customWidth="1"/>
    <x:col min="8" max="8" width="22" hidden="0" customWidth="1"/>
    <x:col min="18" max="18" width="14" hidden="0" customWidth="1"/>
    <x:col min="19" max="19" width="14" hidden="0" customWidth="1"/>
    <x:col min="20" max="20" width="18" hidden="0" customWidth="1"/>
    <x:col min="21" max="21" width="14" hidden="0" customWidth="1"/>
    <x:col min="22" max="22" width="18" hidden="0" customWidth="1"/>
    <x:col min="23" max="23" width="18" hidden="0" customWidth="1"/>
    <x:col min="24" max="24" width="20" hidden="0" customWidth="1"/>
    <x:col min="25" max="25" width="17" hidden="0" customWidth="1"/>
    <x:col min="26" max="26" width="20" hidden="0" customWidth="1"/>
    <x:col min="27" max="27" width="18" hidden="0" customWidth="1"/>
    <x:col min="28" max="28" width="18" hidden="0" customWidth="1"/>
    <x:col min="29" max="29" width="34" hidden="0" customWidth="1"/>
  </x:cols>
  <x:sheetData>
    <x:row r="1" ht="36" customHeight="1">
      <x:c r="A1" s="12" t="str">
        <x:v>Asset ID</x:v>
      </x:c>
      <x:c r="B1" s="12" t="str">
        <x:v>Plant Room / Area</x:v>
      </x:c>
      <x:c r="C1" s="12" t="str">
        <x:v>System</x:v>
      </x:c>
      <x:c r="D1" s="12" t="str">
        <x:v>Equipment Type</x:v>
      </x:c>
      <x:c r="E1" s="12" t="str">
        <x:v>Asset Tag / Name</x:v>
      </x:c>
      <x:c r="F1" s="12" t="str">
        <x:v>Manufacturer</x:v>
      </x:c>
      <x:c r="G1" s="12" t="str">
        <x:v>Model</x:v>
      </x:c>
      <x:c r="H1" s="12" t="str">
        <x:v>Serial Number</x:v>
      </x:c>
      <x:c r="I1" s="12" t="str">
        <x:v>Service / Duty</x:v>
      </x:c>
      <x:c r="J1" s="12" t="str">
        <x:v>Pipe Size</x:v>
      </x:c>
      <x:c r="K1" s="12" t="str">
        <x:v>Electrical Supply</x:v>
      </x:c>
      <x:c r="L1" s="12" t="str">
        <x:v>Exact Location</x:v>
      </x:c>
      <x:c r="M1" s="12" t="str">
        <x:v>Condition</x:v>
      </x:c>
      <x:c r="N1" s="12" t="str">
        <x:v>Criticality</x:v>
      </x:c>
      <x:c r="O1" s="12" t="str">
        <x:v>Operational Status</x:v>
      </x:c>
      <x:c r="P1" s="12" t="str">
        <x:v>PPM Frequency</x:v>
      </x:c>
      <x:c r="Q1" s="12" t="str">
        <x:v>Statutory / Compliance Requirement</x:v>
      </x:c>
      <x:c r="R1" s="12" t="str">
        <x:v>Last Service Date</x:v>
      </x:c>
      <x:c r="S1" s="12" t="str">
        <x:v>Next Service Due</x:v>
      </x:c>
      <x:c r="T1" s="12" t="str">
        <x:v>Service Provider</x:v>
      </x:c>
      <x:c r="U1" s="12" t="str">
        <x:v>Warranty Expiry</x:v>
      </x:c>
      <x:c r="V1" s="12" t="str">
        <x:v>Install / Commission Date</x:v>
      </x:c>
      <x:c r="W1" s="12" t="str">
        <x:v>Isolation Reference</x:v>
      </x:c>
      <x:c r="X1" s="12" t="str">
        <x:v>BMS / Controls Reference</x:v>
      </x:c>
      <x:c r="Y1" s="12" t="str">
        <x:v>Photo Reference</x:v>
      </x:c>
      <x:c r="Z1" s="12" t="str">
        <x:v>O&amp;M / Manual Reference</x:v>
      </x:c>
      <x:c r="AA1" s="12" t="str">
        <x:v>Replacement Priority</x:v>
      </x:c>
      <x:c r="AB1" s="12" t="str">
        <x:v>Estimated Replacement Year</x:v>
      </x:c>
      <x:c r="AC1" s="12" t="str">
        <x:v>Notes</x:v>
      </x:c>
    </x:row>
    <x:row r="2">
      <x:c r="A2" s="22" t="str">
        <x:v>EV/SH/1</x:v>
      </x:c>
      <x:c r="B2" s="22" t="str">
        <x:v>Staff House Boiler Room</x:v>
      </x:c>
      <x:c r="C2" s="22" t="str">
        <x:v>Heating / DHW - verify</x:v>
      </x:c>
      <x:c r="D2" s="22" t="str">
        <x:v>Expansion Vessel</x:v>
      </x:c>
      <x:c r="E2" s="22" t="str">
        <x:v>EV/SH/1</x:v>
      </x:c>
      <x:c r="F2" s="22" t="str">
        <x:v>Reflex</x:v>
      </x:c>
      <x:c r="G2" s="22" t="str">
        <x:v>N8</x:v>
      </x:c>
      <x:c r="H2" s="22" t="str">
        <x:v>2013575A244056953</x:v>
      </x:c>
      <x:c r="I2" s="22" t="str">
        <x:v>Expansion and pressure control</x:v>
      </x:c>
      <x:c r="J2" s="22" t="str"/>
      <x:c r="K2" s="22" t="str">
        <x:v>To be confirmed</x:v>
      </x:c>
      <x:c r="L2" s="22" t="str">
        <x:v>LHS</x:v>
      </x:c>
      <x:c r="M2" s="22" t="str">
        <x:v>Not assessed</x:v>
      </x:c>
      <x:c r="N2" s="22" t="str">
        <x:v>Medium</x:v>
      </x:c>
      <x:c r="O2" s="22" t="str">
        <x:v>Operational - verify</x:v>
      </x:c>
      <x:c r="P2" s="22" t="str">
        <x:v>Annual</x:v>
      </x:c>
      <x:c r="Q2" s="22" t="str">
        <x:v>Check pre-charge, diaphragm condition and confirm PSSR applicability</x:v>
      </x:c>
      <x:c r="R2" s="26"/>
      <x:c r="S2" s="26" t="str">
        <x:f>IF(R2="","",IF(P2="Annual",EDATE(R2,12),IF(P2="6 monthly",EDATE(R2,6),IF(P2="Quarterly",EDATE(R2,3),""))))</x:f>
      </x:c>
      <x:c r="T2" s="22" t="str">
        <x:v>To be confirmed</x:v>
      </x:c>
      <x:c r="U2" s="26"/>
      <x:c r="V2" s="26"/>
      <x:c r="W2" s="22" t="str">
        <x:v>To be confirmed</x:v>
      </x:c>
      <x:c r="X2" s="22" t="str">
        <x:v>To be confirmed</x:v>
      </x:c>
      <x:c r="Y2" s="22" t="str"/>
      <x:c r="Z2" s="22" t="str"/>
      <x:c r="AA2" s="22" t="str">
        <x:v>Assess</x:v>
      </x:c>
      <x:c r="AB2" s="22" t="str"/>
      <x:c r="AC2" s="22" t="str">
        <x:v>grey colour, 30-04-2024</x:v>
      </x:c>
    </x:row>
    <x:row r="3">
      <x:c r="A3" s="22" t="str">
        <x:v>PU/SH/1</x:v>
      </x:c>
      <x:c r="B3" s="22" t="str">
        <x:v>Staff House Boiler Room</x:v>
      </x:c>
      <x:c r="C3" s="22" t="str">
        <x:v>LTHW heating</x:v>
      </x:c>
      <x:c r="D3" s="22" t="str">
        <x:v>Pressurisation Unit</x:v>
      </x:c>
      <x:c r="E3" s="22" t="str">
        <x:v>PU/SH/1</x:v>
      </x:c>
      <x:c r="F3" s="22" t="str">
        <x:v>Tricell</x:v>
      </x:c>
      <x:c r="G3" s="22" t="str">
        <x:v>Minipress 230</x:v>
      </x:c>
      <x:c r="H3" s="22" t="str">
        <x:v>SN364245</x:v>
      </x:c>
      <x:c r="I3" s="22" t="str">
        <x:v>System pressurisation</x:v>
      </x:c>
      <x:c r="J3" s="22" t="str"/>
      <x:c r="K3" s="22" t="str">
        <x:v>To be confirmed</x:v>
      </x:c>
      <x:c r="L3" s="22" t="str">
        <x:v>LHS</x:v>
      </x:c>
      <x:c r="M3" s="22" t="str">
        <x:v>Not assessed</x:v>
      </x:c>
      <x:c r="N3" s="22" t="str">
        <x:v>High</x:v>
      </x:c>
      <x:c r="O3" s="22" t="str">
        <x:v>Operational - verify</x:v>
      </x:c>
      <x:c r="P3" s="22" t="str">
        <x:v>Annual</x:v>
      </x:c>
      <x:c r="Q3" s="22" t="str">
        <x:v>Check pressure vessel, controls, safety devices and confirm PSSR applicability</x:v>
      </x:c>
      <x:c r="R3" s="26"/>
      <x:c r="S3" s="26" t="str">
        <x:f>IF(R3="","",IF(P3="Annual",EDATE(R3,12),IF(P3="6 monthly",EDATE(R3,6),IF(P3="Quarterly",EDATE(R3,3),""))))</x:f>
      </x:c>
      <x:c r="T3" s="22" t="str">
        <x:v>To be confirmed</x:v>
      </x:c>
      <x:c r="U3" s="26"/>
      <x:c r="V3" s="26"/>
      <x:c r="W3" s="22" t="str">
        <x:v>To be confirmed</x:v>
      </x:c>
      <x:c r="X3" s="22" t="str">
        <x:v>To be confirmed</x:v>
      </x:c>
      <x:c r="Y3" s="22" t="str"/>
      <x:c r="Z3" s="22" t="str"/>
      <x:c r="AA3" s="22" t="str">
        <x:v>Assess</x:v>
      </x:c>
      <x:c r="AB3" s="22" t="str"/>
      <x:c r="AC3" s="22" t="str"/>
    </x:row>
    <x:row r="4">
      <x:c r="A4" s="22" t="str">
        <x:v>P/SH/1</x:v>
      </x:c>
      <x:c r="B4" s="22" t="str">
        <x:v>Staff House Boiler Room</x:v>
      </x:c>
      <x:c r="C4" s="22" t="str">
        <x:v>Heating / DHW - verify</x:v>
      </x:c>
      <x:c r="D4" s="22" t="str">
        <x:v>Pump</x:v>
      </x:c>
      <x:c r="E4" s="22" t="str">
        <x:v>P/SH/1</x:v>
      </x:c>
      <x:c r="F4" s="22" t="str">
        <x:v>Wilo</x:v>
      </x:c>
      <x:c r="G4" s="22" t="str">
        <x:v>TOP-E 25/1-7</x:v>
      </x:c>
      <x:c r="H4" s="22" t="str">
        <x:v>2031550/07W14</x:v>
      </x:c>
      <x:c r="I4" s="22" t="str">
        <x:v>Circulation / transfer - confirm</x:v>
      </x:c>
      <x:c r="J4" s="22" t="str"/>
      <x:c r="K4" s="22" t="str">
        <x:v>To be confirmed</x:v>
      </x:c>
      <x:c r="L4" s="22" t="str">
        <x:v>To be confirmed</x:v>
      </x:c>
      <x:c r="M4" s="22" t="str">
        <x:v>Not assessed</x:v>
      </x:c>
      <x:c r="N4" s="22" t="str">
        <x:v>Medium</x:v>
      </x:c>
      <x:c r="O4" s="22" t="str">
        <x:v>Operational - verify</x:v>
      </x:c>
      <x:c r="P4" s="22" t="str">
        <x:v>6 monthly visual / annual service</x:v>
      </x:c>
      <x:c r="Q4" s="22" t="str">
        <x:v>Check operation, seals, bearings, electrical condition and duty/standby arrangement</x:v>
      </x:c>
      <x:c r="R4" s="26"/>
      <x:c r="S4" s="26" t="str">
        <x:f>IF(R4="","",IF(P4="Annual",EDATE(R4,12),IF(P4="6 monthly",EDATE(R4,6),IF(P4="Quarterly",EDATE(R4,3),""))))</x:f>
      </x:c>
      <x:c r="T4" s="22" t="str">
        <x:v>To be confirmed</x:v>
      </x:c>
      <x:c r="U4" s="26"/>
      <x:c r="V4" s="26"/>
      <x:c r="W4" s="22" t="str">
        <x:v>To be confirmed</x:v>
      </x:c>
      <x:c r="X4" s="22" t="str">
        <x:v>To be confirmed</x:v>
      </x:c>
      <x:c r="Y4" s="22" t="str"/>
      <x:c r="Z4" s="22" t="str"/>
      <x:c r="AA4" s="22" t="str">
        <x:v>Assess</x:v>
      </x:c>
      <x:c r="AB4" s="22" t="str"/>
      <x:c r="AC4" s="22" t="str"/>
    </x:row>
    <x:row r="5">
      <x:c r="A5" s="22" t="str">
        <x:v>P/SH/2</x:v>
      </x:c>
      <x:c r="B5" s="22" t="str">
        <x:v>Staff House Boiler Room</x:v>
      </x:c>
      <x:c r="C5" s="22" t="str">
        <x:v>Heating / DHW - verify</x:v>
      </x:c>
      <x:c r="D5" s="22" t="str">
        <x:v>Pump</x:v>
      </x:c>
      <x:c r="E5" s="22" t="str">
        <x:v>P/SH/2</x:v>
      </x:c>
      <x:c r="F5" s="22" t="str">
        <x:v>Wilo</x:v>
      </x:c>
      <x:c r="G5" s="22" t="str">
        <x:v>Yonos MAXO 25/0.5-7</x:v>
      </x:c>
      <x:c r="H5" s="22" t="str">
        <x:v>2120639/2025W11</x:v>
      </x:c>
      <x:c r="I5" s="22" t="str">
        <x:v>Circulation / transfer - confirm</x:v>
      </x:c>
      <x:c r="J5" s="22" t="str"/>
      <x:c r="K5" s="22" t="str">
        <x:v>To be confirmed</x:v>
      </x:c>
      <x:c r="L5" s="22" t="str">
        <x:v>To be confirmed</x:v>
      </x:c>
      <x:c r="M5" s="22" t="str">
        <x:v>Not assessed</x:v>
      </x:c>
      <x:c r="N5" s="22" t="str">
        <x:v>Medium</x:v>
      </x:c>
      <x:c r="O5" s="22" t="str">
        <x:v>Operational - verify</x:v>
      </x:c>
      <x:c r="P5" s="22" t="str">
        <x:v>6 monthly visual / annual service</x:v>
      </x:c>
      <x:c r="Q5" s="22" t="str">
        <x:v>Check operation, seals, bearings, electrical condition and duty/standby arrangement</x:v>
      </x:c>
      <x:c r="R5" s="26"/>
      <x:c r="S5" s="26" t="str">
        <x:f>IF(R5="","",IF(P5="Annual",EDATE(R5,12),IF(P5="6 monthly",EDATE(R5,6),IF(P5="Quarterly",EDATE(R5,3),""))))</x:f>
      </x:c>
      <x:c r="T5" s="22" t="str">
        <x:v>To be confirmed</x:v>
      </x:c>
      <x:c r="U5" s="26"/>
      <x:c r="V5" s="26"/>
      <x:c r="W5" s="22" t="str">
        <x:v>To be confirmed</x:v>
      </x:c>
      <x:c r="X5" s="22" t="str">
        <x:v>To be confirmed</x:v>
      </x:c>
      <x:c r="Y5" s="22" t="str"/>
      <x:c r="Z5" s="22" t="str"/>
      <x:c r="AA5" s="22" t="str">
        <x:v>Assess</x:v>
      </x:c>
      <x:c r="AB5" s="22" t="str"/>
      <x:c r="AC5" s="22" t="str"/>
    </x:row>
    <x:row r="6">
      <x:c r="A6" s="22" t="str">
        <x:v>HX/SH/1</x:v>
      </x:c>
      <x:c r="B6" s="22" t="str">
        <x:v>Staff House Boiler Room</x:v>
      </x:c>
      <x:c r="C6" s="22" t="str">
        <x:v>Heating / DHW - verify</x:v>
      </x:c>
      <x:c r="D6" s="22" t="str">
        <x:v>Heat Exchanger</x:v>
      </x:c>
      <x:c r="E6" s="22" t="str">
        <x:v>HX/SH/1</x:v>
      </x:c>
      <x:c r="F6" s="22" t="str">
        <x:v>Rycroft</x:v>
      </x:c>
      <x:c r="G6" s="22" t="str">
        <x:v>SP30-C10</x:v>
      </x:c>
      <x:c r="H6" s="22" t="str">
        <x:v>42571/5</x:v>
      </x:c>
      <x:c r="I6" s="22" t="str">
        <x:v>Heat transfer</x:v>
      </x:c>
      <x:c r="J6" s="22" t="str"/>
      <x:c r="K6" s="22" t="str">
        <x:v>To be confirmed</x:v>
      </x:c>
      <x:c r="L6" s="22" t="str">
        <x:v>To be confirmed</x:v>
      </x:c>
      <x:c r="M6" s="22" t="str">
        <x:v>Not assessed</x:v>
      </x:c>
      <x:c r="N6" s="22" t="str">
        <x:v>High</x:v>
      </x:c>
      <x:c r="O6" s="22" t="str">
        <x:v>Operational - verify</x:v>
      </x:c>
      <x:c r="P6" s="22" t="str">
        <x:v>Annual</x:v>
      </x:c>
      <x:c r="Q6" s="22" t="str">
        <x:v>Inspect for leakage, fouling and performance; verify pressure-system requirements</x:v>
      </x:c>
      <x:c r="R6" s="26"/>
      <x:c r="S6" s="26" t="str">
        <x:f>IF(R6="","",IF(P6="Annual",EDATE(R6,12),IF(P6="6 monthly",EDATE(R6,6),IF(P6="Quarterly",EDATE(R6,3),""))))</x:f>
      </x:c>
      <x:c r="T6" s="22" t="str">
        <x:v>To be confirmed</x:v>
      </x:c>
      <x:c r="U6" s="26"/>
      <x:c r="V6" s="26"/>
      <x:c r="W6" s="22" t="str">
        <x:v>To be confirmed</x:v>
      </x:c>
      <x:c r="X6" s="22" t="str">
        <x:v>To be confirmed</x:v>
      </x:c>
      <x:c r="Y6" s="22" t="str"/>
      <x:c r="Z6" s="22" t="str"/>
      <x:c r="AA6" s="22" t="str">
        <x:v>Assess</x:v>
      </x:c>
      <x:c r="AB6" s="22" t="str"/>
      <x:c r="AC6" s="22" t="str"/>
    </x:row>
    <x:row r="7">
      <x:c r="A7" s="22" t="str">
        <x:v>P/SH/10</x:v>
      </x:c>
      <x:c r="B7" s="22" t="str">
        <x:v>Staff House Boiler Room</x:v>
      </x:c>
      <x:c r="C7" s="22" t="str">
        <x:v>Heating / DHW - verify</x:v>
      </x:c>
      <x:c r="D7" s="22" t="str">
        <x:v>Pump</x:v>
      </x:c>
      <x:c r="E7" s="22" t="str">
        <x:v>P/SH/10</x:v>
      </x:c>
      <x:c r="F7" s="22" t="str">
        <x:v>Onyx</x:v>
      </x:c>
      <x:c r="G7" s="22" t="str">
        <x:v>RS25/6G-130</x:v>
      </x:c>
      <x:c r="H7" s="22" t="str">
        <x:v>P11-2022-06</x:v>
      </x:c>
      <x:c r="I7" s="22" t="str">
        <x:v>Circulation / transfer - confirm</x:v>
      </x:c>
      <x:c r="J7" s="22" t="str"/>
      <x:c r="K7" s="22" t="str">
        <x:v>To be confirmed</x:v>
      </x:c>
      <x:c r="L7" s="22" t="str">
        <x:v>To be confirmed</x:v>
      </x:c>
      <x:c r="M7" s="22" t="str">
        <x:v>Not assessed</x:v>
      </x:c>
      <x:c r="N7" s="22" t="str">
        <x:v>Medium</x:v>
      </x:c>
      <x:c r="O7" s="22" t="str">
        <x:v>Operational - verify</x:v>
      </x:c>
      <x:c r="P7" s="22" t="str">
        <x:v>6 monthly visual / annual service</x:v>
      </x:c>
      <x:c r="Q7" s="22" t="str">
        <x:v>Check operation, seals, bearings, electrical condition and duty/standby arrangement</x:v>
      </x:c>
      <x:c r="R7" s="26"/>
      <x:c r="S7" s="26" t="str">
        <x:f>IF(R7="","",IF(P7="Annual",EDATE(R7,12),IF(P7="6 monthly",EDATE(R7,6),IF(P7="Quarterly",EDATE(R7,3),""))))</x:f>
      </x:c>
      <x:c r="T7" s="22" t="str">
        <x:v>To be confirmed</x:v>
      </x:c>
      <x:c r="U7" s="26"/>
      <x:c r="V7" s="26"/>
      <x:c r="W7" s="22" t="str">
        <x:v>To be confirmed</x:v>
      </x:c>
      <x:c r="X7" s="22" t="str">
        <x:v>To be confirmed</x:v>
      </x:c>
      <x:c r="Y7" s="22" t="str"/>
      <x:c r="Z7" s="22" t="str"/>
      <x:c r="AA7" s="22" t="str">
        <x:v>Assess</x:v>
      </x:c>
      <x:c r="AB7" s="22" t="str"/>
      <x:c r="AC7" s="22" t="str"/>
    </x:row>
    <x:row r="8">
      <x:c r="A8" s="22" t="str">
        <x:v>CA/SH/1</x:v>
      </x:c>
      <x:c r="B8" s="22" t="str">
        <x:v>Staff House Boiler Room</x:v>
      </x:c>
      <x:c r="C8" s="22" t="str">
        <x:v>Domestic hot water</x:v>
      </x:c>
      <x:c r="D8" s="22" t="str">
        <x:v>Calorifier</x:v>
      </x:c>
      <x:c r="E8" s="22" t="str">
        <x:v>CA/SH/1</x:v>
      </x:c>
      <x:c r="F8" s="22" t="str">
        <x:v>Unknown</x:v>
      </x:c>
      <x:c r="G8" s="22" t="str">
        <x:v>Unknown</x:v>
      </x:c>
      <x:c r="H8" s="22" t="str">
        <x:v>Unknown</x:v>
      </x:c>
      <x:c r="I8" s="22" t="str">
        <x:v>DHW storage / generation</x:v>
      </x:c>
      <x:c r="J8" s="22" t="str"/>
      <x:c r="K8" s="22" t="str">
        <x:v>To be confirmed</x:v>
      </x:c>
      <x:c r="L8" s="22" t="str">
        <x:v>To be confirmed</x:v>
      </x:c>
      <x:c r="M8" s="22" t="str">
        <x:v>Not assessed</x:v>
      </x:c>
      <x:c r="N8" s="22" t="str">
        <x:v>High</x:v>
      </x:c>
      <x:c r="O8" s="22" t="str">
        <x:v>Operational - verify</x:v>
      </x:c>
      <x:c r="P8" s="22" t="str">
        <x:v>Annual</x:v>
      </x:c>
      <x:c r="Q8" s="22" t="str">
        <x:v>Confirm inclusion in Written Scheme of Examination; inspect vessel, controls and temperature regime</x:v>
      </x:c>
      <x:c r="R8" s="26"/>
      <x:c r="S8" s="26" t="str">
        <x:f>IF(R8="","",IF(P8="Annual",EDATE(R8,12),IF(P8="6 monthly",EDATE(R8,6),IF(P8="Quarterly",EDATE(R8,3),""))))</x:f>
      </x:c>
      <x:c r="T8" s="22" t="str">
        <x:v>To be confirmed</x:v>
      </x:c>
      <x:c r="U8" s="26"/>
      <x:c r="V8" s="26"/>
      <x:c r="W8" s="22" t="str">
        <x:v>To be confirmed</x:v>
      </x:c>
      <x:c r="X8" s="22" t="str">
        <x:v>To be confirmed</x:v>
      </x:c>
      <x:c r="Y8" s="22" t="str"/>
      <x:c r="Z8" s="22" t="str"/>
      <x:c r="AA8" s="22" t="str">
        <x:v>Assess</x:v>
      </x:c>
      <x:c r="AB8" s="22" t="str"/>
      <x:c r="AC8" s="22" t="str"/>
    </x:row>
    <x:row r="9">
      <x:c r="A9" s="22" t="str">
        <x:v>EV/SH/3</x:v>
      </x:c>
      <x:c r="B9" s="22" t="str">
        <x:v>Staff House Boiler Room</x:v>
      </x:c>
      <x:c r="C9" s="22" t="str">
        <x:v>Heating / DHW - verify</x:v>
      </x:c>
      <x:c r="D9" s="22" t="str">
        <x:v>Expansion Vessel</x:v>
      </x:c>
      <x:c r="E9" s="22" t="str">
        <x:v>EV/SH/3</x:v>
      </x:c>
      <x:c r="F9" s="22" t="str">
        <x:v>Lowara</x:v>
      </x:c>
      <x:c r="G9" s="22" t="str">
        <x:v>110 Ultra-Pro</x:v>
      </x:c>
      <x:c r="H9" s="22" t="str">
        <x:v>26-000000141930</x:v>
      </x:c>
      <x:c r="I9" s="22" t="str">
        <x:v>Expansion and pressure control</x:v>
      </x:c>
      <x:c r="J9" s="22" t="str"/>
      <x:c r="K9" s="22" t="str">
        <x:v>To be confirmed</x:v>
      </x:c>
      <x:c r="L9" s="22" t="str">
        <x:v>To be confirmed</x:v>
      </x:c>
      <x:c r="M9" s="22" t="str">
        <x:v>Not assessed</x:v>
      </x:c>
      <x:c r="N9" s="22" t="str">
        <x:v>Medium</x:v>
      </x:c>
      <x:c r="O9" s="22" t="str">
        <x:v>Operational - verify</x:v>
      </x:c>
      <x:c r="P9" s="22" t="str">
        <x:v>Annual</x:v>
      </x:c>
      <x:c r="Q9" s="22" t="str">
        <x:v>Check pre-charge, diaphragm condition and confirm PSSR applicability</x:v>
      </x:c>
      <x:c r="R9" s="26"/>
      <x:c r="S9" s="26" t="str">
        <x:f>IF(R9="","",IF(P9="Annual",EDATE(R9,12),IF(P9="6 monthly",EDATE(R9,6),IF(P9="Quarterly",EDATE(R9,3),""))))</x:f>
      </x:c>
      <x:c r="T9" s="22" t="str">
        <x:v>To be confirmed</x:v>
      </x:c>
      <x:c r="U9" s="26"/>
      <x:c r="V9" s="26"/>
      <x:c r="W9" s="22" t="str">
        <x:v>To be confirmed</x:v>
      </x:c>
      <x:c r="X9" s="22" t="str">
        <x:v>To be confirmed</x:v>
      </x:c>
      <x:c r="Y9" s="22" t="str"/>
      <x:c r="Z9" s="22" t="str"/>
      <x:c r="AA9" s="22" t="str">
        <x:v>Assess</x:v>
      </x:c>
      <x:c r="AB9" s="22" t="str"/>
      <x:c r="AC9" s="22" t="str"/>
    </x:row>
    <x:row r="10">
      <x:c r="A10" s="22" t="str">
        <x:v>PU/SH/2</x:v>
      </x:c>
      <x:c r="B10" s="22" t="str">
        <x:v>Staff House Boiler Room</x:v>
      </x:c>
      <x:c r="C10" s="22" t="str">
        <x:v>LTHW heating</x:v>
      </x:c>
      <x:c r="D10" s="22" t="str">
        <x:v>Pressurisation Unit</x:v>
      </x:c>
      <x:c r="E10" s="22" t="str">
        <x:v>PU/SH/2</x:v>
      </x:c>
      <x:c r="F10" s="22" t="str">
        <x:v>Wilo</x:v>
      </x:c>
      <x:c r="G10" s="22" t="str">
        <x:v>255D</x:v>
      </x:c>
      <x:c r="H10" s="22" t="str">
        <x:v>B 0506 2278</x:v>
      </x:c>
      <x:c r="I10" s="22" t="str">
        <x:v>System pressurisation</x:v>
      </x:c>
      <x:c r="J10" s="22" t="str"/>
      <x:c r="K10" s="22" t="str">
        <x:v>To be confirmed</x:v>
      </x:c>
      <x:c r="L10" s="22" t="str">
        <x:v>To be confirmed</x:v>
      </x:c>
      <x:c r="M10" s="22" t="str">
        <x:v>Not assessed</x:v>
      </x:c>
      <x:c r="N10" s="22" t="str">
        <x:v>High</x:v>
      </x:c>
      <x:c r="O10" s="22" t="str">
        <x:v>Operational - verify</x:v>
      </x:c>
      <x:c r="P10" s="22" t="str">
        <x:v>Annual</x:v>
      </x:c>
      <x:c r="Q10" s="22" t="str">
        <x:v>Check pressure vessel, controls, safety devices and confirm PSSR applicability</x:v>
      </x:c>
      <x:c r="R10" s="26"/>
      <x:c r="S10" s="26" t="str">
        <x:f>IF(R10="","",IF(P10="Annual",EDATE(R10,12),IF(P10="6 monthly",EDATE(R10,6),IF(P10="Quarterly",EDATE(R10,3),""))))</x:f>
      </x:c>
      <x:c r="T10" s="22" t="str">
        <x:v>To be confirmed</x:v>
      </x:c>
      <x:c r="U10" s="26"/>
      <x:c r="V10" s="26"/>
      <x:c r="W10" s="22" t="str">
        <x:v>To be confirmed</x:v>
      </x:c>
      <x:c r="X10" s="22" t="str">
        <x:v>To be confirmed</x:v>
      </x:c>
      <x:c r="Y10" s="22" t="str"/>
      <x:c r="Z10" s="22" t="str"/>
      <x:c r="AA10" s="22" t="str">
        <x:v>Assess</x:v>
      </x:c>
      <x:c r="AB10" s="22" t="str"/>
      <x:c r="AC10" s="22" t="str"/>
    </x:row>
    <x:row r="11">
      <x:c r="A11" s="22" t="str">
        <x:v>UV/SH/1</x:v>
      </x:c>
      <x:c r="B11" s="22" t="str">
        <x:v>Staff House Boiler Room</x:v>
      </x:c>
      <x:c r="C11" s="22" t="str">
        <x:v>Domestic water treatment</x:v>
      </x:c>
      <x:c r="D11" s="22" t="str">
        <x:v>Water Conditioner</x:v>
      </x:c>
      <x:c r="E11" s="22" t="str">
        <x:v>UV/SH/1</x:v>
      </x:c>
      <x:c r="F11" s="22" t="str">
        <x:v>Hydro Tec</x:v>
      </x:c>
      <x:c r="G11" s="22" t="str">
        <x:v>D95111 REHAU</x:v>
      </x:c>
      <x:c r="H11" s="22" t="str">
        <x:v>Unknown</x:v>
      </x:c>
      <x:c r="I11" s="22" t="str">
        <x:v>Water conditioning / scale control</x:v>
      </x:c>
      <x:c r="J11" s="22" t="str"/>
      <x:c r="K11" s="22" t="str">
        <x:v>To be confirmed</x:v>
      </x:c>
      <x:c r="L11" s="22" t="str">
        <x:v>To be confirmed</x:v>
      </x:c>
      <x:c r="M11" s="22" t="str">
        <x:v>Not assessed</x:v>
      </x:c>
      <x:c r="N11" s="22" t="str">
        <x:v>Medium</x:v>
      </x:c>
      <x:c r="O11" s="22" t="str">
        <x:v>Operational - verify</x:v>
      </x:c>
      <x:c r="P11" s="22" t="str">
        <x:v>6 monthly</x:v>
      </x:c>
      <x:c r="Q11" s="22" t="str">
        <x:v>Service to manufacturer requirements; verify water hygiene programme integration</x:v>
      </x:c>
      <x:c r="R11" s="26"/>
      <x:c r="S11" s="26" t="str">
        <x:f>IF(R11="","",IF(P11="Annual",EDATE(R11,12),IF(P11="6 monthly",EDATE(R11,6),IF(P11="Quarterly",EDATE(R11,3),""))))</x:f>
      </x:c>
      <x:c r="T11" s="22" t="str">
        <x:v>To be confirmed</x:v>
      </x:c>
      <x:c r="U11" s="26"/>
      <x:c r="V11" s="26"/>
      <x:c r="W11" s="22" t="str">
        <x:v>To be confirmed</x:v>
      </x:c>
      <x:c r="X11" s="22" t="str">
        <x:v>To be confirmed</x:v>
      </x:c>
      <x:c r="Y11" s="22" t="str"/>
      <x:c r="Z11" s="22" t="str"/>
      <x:c r="AA11" s="22" t="str">
        <x:v>Assess</x:v>
      </x:c>
      <x:c r="AB11" s="22" t="str"/>
      <x:c r="AC11" s="22" t="str"/>
    </x:row>
    <x:row r="12">
      <x:c r="A12" s="22" t="str">
        <x:v>EV/SH/2</x:v>
      </x:c>
      <x:c r="B12" s="22" t="str">
        <x:v>Staff House Boiler Room</x:v>
      </x:c>
      <x:c r="C12" s="22" t="str">
        <x:v>Heating / DHW - verify</x:v>
      </x:c>
      <x:c r="D12" s="22" t="str">
        <x:v>Expansion Vessel</x:v>
      </x:c>
      <x:c r="E12" s="22" t="str">
        <x:v>EV/SH/2</x:v>
      </x:c>
      <x:c r="F12" s="22" t="str">
        <x:v>Wilo</x:v>
      </x:c>
      <x:c r="G12" s="22" t="str">
        <x:v>XT-600V</x:v>
      </x:c>
      <x:c r="H12" s="22" t="str">
        <x:v>53027</x:v>
      </x:c>
      <x:c r="I12" s="22" t="str">
        <x:v>Expansion and pressure control</x:v>
      </x:c>
      <x:c r="J12" s="22" t="str"/>
      <x:c r="K12" s="22" t="str">
        <x:v>To be confirmed</x:v>
      </x:c>
      <x:c r="L12" s="22" t="str">
        <x:v>To be confirmed</x:v>
      </x:c>
      <x:c r="M12" s="22" t="str">
        <x:v>Not assessed</x:v>
      </x:c>
      <x:c r="N12" s="22" t="str">
        <x:v>Medium</x:v>
      </x:c>
      <x:c r="O12" s="22" t="str">
        <x:v>Operational - verify</x:v>
      </x:c>
      <x:c r="P12" s="22" t="str">
        <x:v>Annual</x:v>
      </x:c>
      <x:c r="Q12" s="22" t="str">
        <x:v>Check pre-charge, diaphragm condition and confirm PSSR applicability</x:v>
      </x:c>
      <x:c r="R12" s="26"/>
      <x:c r="S12" s="26" t="str">
        <x:f>IF(R12="","",IF(P12="Annual",EDATE(R12,12),IF(P12="6 monthly",EDATE(R12,6),IF(P12="Quarterly",EDATE(R12,3),""))))</x:f>
      </x:c>
      <x:c r="T12" s="22" t="str">
        <x:v>To be confirmed</x:v>
      </x:c>
      <x:c r="U12" s="26"/>
      <x:c r="V12" s="26"/>
      <x:c r="W12" s="22" t="str">
        <x:v>To be confirmed</x:v>
      </x:c>
      <x:c r="X12" s="22" t="str">
        <x:v>To be confirmed</x:v>
      </x:c>
      <x:c r="Y12" s="22" t="str"/>
      <x:c r="Z12" s="22" t="str"/>
      <x:c r="AA12" s="22" t="str">
        <x:v>Assess</x:v>
      </x:c>
      <x:c r="AB12" s="22" t="str"/>
      <x:c r="AC12" s="22" t="str"/>
    </x:row>
    <x:row r="13">
      <x:c r="A13" s="22" t="str">
        <x:v>P/SH/11</x:v>
      </x:c>
      <x:c r="B13" s="22" t="str">
        <x:v>Staff House Boiler Room</x:v>
      </x:c>
      <x:c r="C13" s="22" t="str">
        <x:v>Heating / DHW - verify</x:v>
      </x:c>
      <x:c r="D13" s="22" t="str">
        <x:v>Pump</x:v>
      </x:c>
      <x:c r="E13" s="22" t="str">
        <x:v>P/SH/11</x:v>
      </x:c>
      <x:c r="F13" s="22" t="str">
        <x:v>Grundfos</x:v>
      </x:c>
      <x:c r="G13" s="22" t="str">
        <x:v>UPS 15-50</x:v>
      </x:c>
      <x:c r="H13" s="22" t="str">
        <x:v>97549426</x:v>
      </x:c>
      <x:c r="I13" s="22" t="str">
        <x:v>Circulation / transfer - confirm</x:v>
      </x:c>
      <x:c r="J13" s="22" t="str"/>
      <x:c r="K13" s="22" t="str">
        <x:v>To be confirmed</x:v>
      </x:c>
      <x:c r="L13" s="22" t="str">
        <x:v>To be confirmed</x:v>
      </x:c>
      <x:c r="M13" s="22" t="str">
        <x:v>Not assessed</x:v>
      </x:c>
      <x:c r="N13" s="22" t="str">
        <x:v>Medium</x:v>
      </x:c>
      <x:c r="O13" s="22" t="str">
        <x:v>Operational - verify</x:v>
      </x:c>
      <x:c r="P13" s="22" t="str">
        <x:v>6 monthly visual / annual service</x:v>
      </x:c>
      <x:c r="Q13" s="22" t="str">
        <x:v>Check operation, seals, bearings, electrical condition and duty/standby arrangement</x:v>
      </x:c>
      <x:c r="R13" s="26"/>
      <x:c r="S13" s="26" t="str">
        <x:f>IF(R13="","",IF(P13="Annual",EDATE(R13,12),IF(P13="6 monthly",EDATE(R13,6),IF(P13="Quarterly",EDATE(R13,3),""))))</x:f>
      </x:c>
      <x:c r="T13" s="22" t="str">
        <x:v>To be confirmed</x:v>
      </x:c>
      <x:c r="U13" s="26"/>
      <x:c r="V13" s="26"/>
      <x:c r="W13" s="22" t="str">
        <x:v>To be confirmed</x:v>
      </x:c>
      <x:c r="X13" s="22" t="str">
        <x:v>To be confirmed</x:v>
      </x:c>
      <x:c r="Y13" s="22" t="str"/>
      <x:c r="Z13" s="22" t="str"/>
      <x:c r="AA13" s="22" t="str">
        <x:v>Assess</x:v>
      </x:c>
      <x:c r="AB13" s="22" t="str"/>
      <x:c r="AC13" s="22" t="str"/>
    </x:row>
    <x:row r="14">
      <x:c r="A14" s="22" t="str">
        <x:v>CA/SH/2</x:v>
      </x:c>
      <x:c r="B14" s="22" t="str">
        <x:v>Staff House Boiler Room</x:v>
      </x:c>
      <x:c r="C14" s="22" t="str">
        <x:v>Domestic hot water</x:v>
      </x:c>
      <x:c r="D14" s="22" t="str">
        <x:v>Calorifier</x:v>
      </x:c>
      <x:c r="E14" s="22" t="str">
        <x:v>CA/SH/2</x:v>
      </x:c>
      <x:c r="F14" s="22" t="str">
        <x:v>Unknown</x:v>
      </x:c>
      <x:c r="G14" s="22" t="str">
        <x:v>Unknown</x:v>
      </x:c>
      <x:c r="H14" s="22" t="str">
        <x:v>Unknown</x:v>
      </x:c>
      <x:c r="I14" s="22" t="str">
        <x:v>DHW storage / generation</x:v>
      </x:c>
      <x:c r="J14" s="22" t="str"/>
      <x:c r="K14" s="22" t="str">
        <x:v>To be confirmed</x:v>
      </x:c>
      <x:c r="L14" s="22" t="str">
        <x:v>To be confirmed</x:v>
      </x:c>
      <x:c r="M14" s="22" t="str">
        <x:v>Not assessed</x:v>
      </x:c>
      <x:c r="N14" s="22" t="str">
        <x:v>High</x:v>
      </x:c>
      <x:c r="O14" s="22" t="str">
        <x:v>Operational - verify</x:v>
      </x:c>
      <x:c r="P14" s="22" t="str">
        <x:v>Annual</x:v>
      </x:c>
      <x:c r="Q14" s="22" t="str">
        <x:v>Confirm inclusion in Written Scheme of Examination; inspect vessel, controls and temperature regime</x:v>
      </x:c>
      <x:c r="R14" s="26"/>
      <x:c r="S14" s="26" t="str">
        <x:f>IF(R14="","",IF(P14="Annual",EDATE(R14,12),IF(P14="6 monthly",EDATE(R14,6),IF(P14="Quarterly",EDATE(R14,3),""))))</x:f>
      </x:c>
      <x:c r="T14" s="22" t="str">
        <x:v>To be confirmed</x:v>
      </x:c>
      <x:c r="U14" s="26"/>
      <x:c r="V14" s="26"/>
      <x:c r="W14" s="22" t="str">
        <x:v>To be confirmed</x:v>
      </x:c>
      <x:c r="X14" s="22" t="str">
        <x:v>To be confirmed</x:v>
      </x:c>
      <x:c r="Y14" s="22" t="str"/>
      <x:c r="Z14" s="22" t="str"/>
      <x:c r="AA14" s="22" t="str">
        <x:v>Assess</x:v>
      </x:c>
      <x:c r="AB14" s="22" t="str"/>
      <x:c r="AC14" s="22" t="str"/>
    </x:row>
    <x:row r="15">
      <x:c r="A15" s="22" t="str">
        <x:v>P/SH/12</x:v>
      </x:c>
      <x:c r="B15" s="22" t="str">
        <x:v>Staff House Boiler Room</x:v>
      </x:c>
      <x:c r="C15" s="22" t="str">
        <x:v>Heating / DHW - verify</x:v>
      </x:c>
      <x:c r="D15" s="22" t="str">
        <x:v>Pump</x:v>
      </x:c>
      <x:c r="E15" s="22" t="str">
        <x:v>P/SH/12</x:v>
      </x:c>
      <x:c r="F15" s="22" t="str">
        <x:v>Onyx</x:v>
      </x:c>
      <x:c r="G15" s="22" t="str">
        <x:v>RS25/6G-130</x:v>
      </x:c>
      <x:c r="H15" s="22" t="str">
        <x:v>P11-2022-11</x:v>
      </x:c>
      <x:c r="I15" s="22" t="str">
        <x:v>Circulation / transfer - confirm</x:v>
      </x:c>
      <x:c r="J15" s="22" t="str"/>
      <x:c r="K15" s="22" t="str">
        <x:v>To be confirmed</x:v>
      </x:c>
      <x:c r="L15" s="22" t="str">
        <x:v>To be confirmed</x:v>
      </x:c>
      <x:c r="M15" s="22" t="str">
        <x:v>Not assessed</x:v>
      </x:c>
      <x:c r="N15" s="22" t="str">
        <x:v>Medium</x:v>
      </x:c>
      <x:c r="O15" s="22" t="str">
        <x:v>Operational - verify</x:v>
      </x:c>
      <x:c r="P15" s="22" t="str">
        <x:v>6 monthly visual / annual service</x:v>
      </x:c>
      <x:c r="Q15" s="22" t="str">
        <x:v>Check operation, seals, bearings, electrical condition and duty/standby arrangement</x:v>
      </x:c>
      <x:c r="R15" s="26"/>
      <x:c r="S15" s="26" t="str">
        <x:f>IF(R15="","",IF(P15="Annual",EDATE(R15,12),IF(P15="6 monthly",EDATE(R15,6),IF(P15="Quarterly",EDATE(R15,3),""))))</x:f>
      </x:c>
      <x:c r="T15" s="22" t="str">
        <x:v>To be confirmed</x:v>
      </x:c>
      <x:c r="U15" s="26"/>
      <x:c r="V15" s="26"/>
      <x:c r="W15" s="22" t="str">
        <x:v>To be confirmed</x:v>
      </x:c>
      <x:c r="X15" s="22" t="str">
        <x:v>To be confirmed</x:v>
      </x:c>
      <x:c r="Y15" s="22" t="str"/>
      <x:c r="Z15" s="22" t="str"/>
      <x:c r="AA15" s="22" t="str">
        <x:v>Assess</x:v>
      </x:c>
      <x:c r="AB15" s="22" t="str"/>
      <x:c r="AC15" s="22" t="str"/>
    </x:row>
    <x:row r="16">
      <x:c r="A16" s="22" t="str">
        <x:v>CA/SH/3</x:v>
      </x:c>
      <x:c r="B16" s="22" t="str">
        <x:v>Staff House Boiler Room</x:v>
      </x:c>
      <x:c r="C16" s="22" t="str">
        <x:v>Domestic hot water</x:v>
      </x:c>
      <x:c r="D16" s="22" t="str">
        <x:v>Calorifier</x:v>
      </x:c>
      <x:c r="E16" s="22" t="str">
        <x:v>CA/SH/3</x:v>
      </x:c>
      <x:c r="F16" s="22" t="str">
        <x:v>Unknown</x:v>
      </x:c>
      <x:c r="G16" s="22" t="str">
        <x:v>Unknown</x:v>
      </x:c>
      <x:c r="H16" s="22" t="str">
        <x:v>Unknown</x:v>
      </x:c>
      <x:c r="I16" s="22" t="str">
        <x:v>DHW storage / generation</x:v>
      </x:c>
      <x:c r="J16" s="22" t="str"/>
      <x:c r="K16" s="22" t="str">
        <x:v>To be confirmed</x:v>
      </x:c>
      <x:c r="L16" s="22" t="str">
        <x:v>To be confirmed</x:v>
      </x:c>
      <x:c r="M16" s="22" t="str">
        <x:v>Not assessed</x:v>
      </x:c>
      <x:c r="N16" s="22" t="str">
        <x:v>High</x:v>
      </x:c>
      <x:c r="O16" s="22" t="str">
        <x:v>Operational - verify</x:v>
      </x:c>
      <x:c r="P16" s="22" t="str">
        <x:v>Annual</x:v>
      </x:c>
      <x:c r="Q16" s="22" t="str">
        <x:v>Confirm inclusion in Written Scheme of Examination; inspect vessel, controls and temperature regime</x:v>
      </x:c>
      <x:c r="R16" s="26"/>
      <x:c r="S16" s="26" t="str">
        <x:f>IF(R16="","",IF(P16="Annual",EDATE(R16,12),IF(P16="6 monthly",EDATE(R16,6),IF(P16="Quarterly",EDATE(R16,3),""))))</x:f>
      </x:c>
      <x:c r="T16" s="22" t="str">
        <x:v>To be confirmed</x:v>
      </x:c>
      <x:c r="U16" s="26"/>
      <x:c r="V16" s="26"/>
      <x:c r="W16" s="22" t="str">
        <x:v>To be confirmed</x:v>
      </x:c>
      <x:c r="X16" s="22" t="str">
        <x:v>To be confirmed</x:v>
      </x:c>
      <x:c r="Y16" s="22" t="str"/>
      <x:c r="Z16" s="22" t="str"/>
      <x:c r="AA16" s="22" t="str">
        <x:v>Assess</x:v>
      </x:c>
      <x:c r="AB16" s="22" t="str"/>
      <x:c r="AC16" s="22" t="str"/>
    </x:row>
    <x:row r="17">
      <x:c r="A17" s="22" t="str">
        <x:v>P/SH/9</x:v>
      </x:c>
      <x:c r="B17" s="22" t="str">
        <x:v>Staff House Boiler Room</x:v>
      </x:c>
      <x:c r="C17" s="22" t="str">
        <x:v>Heating / DHW - verify</x:v>
      </x:c>
      <x:c r="D17" s="22" t="str">
        <x:v>Pump</x:v>
      </x:c>
      <x:c r="E17" s="22" t="str">
        <x:v>P/SH/9</x:v>
      </x:c>
      <x:c r="F17" s="22" t="str">
        <x:v>Wilo</x:v>
      </x:c>
      <x:c r="G17" s="22" t="str">
        <x:v>Stratos 40/1-8</x:v>
      </x:c>
      <x:c r="H17" s="22" t="str">
        <x:v>2030570/07W24</x:v>
      </x:c>
      <x:c r="I17" s="22" t="str">
        <x:v>Circulation / transfer - confirm</x:v>
      </x:c>
      <x:c r="J17" s="22" t="str"/>
      <x:c r="K17" s="22" t="str">
        <x:v>To be confirmed</x:v>
      </x:c>
      <x:c r="L17" s="22" t="str">
        <x:v>To be confirmed</x:v>
      </x:c>
      <x:c r="M17" s="22" t="str">
        <x:v>Not assessed</x:v>
      </x:c>
      <x:c r="N17" s="22" t="str">
        <x:v>Medium</x:v>
      </x:c>
      <x:c r="O17" s="22" t="str">
        <x:v>Operational - verify</x:v>
      </x:c>
      <x:c r="P17" s="22" t="str">
        <x:v>6 monthly visual / annual service</x:v>
      </x:c>
      <x:c r="Q17" s="22" t="str">
        <x:v>Check operation, seals, bearings, electrical condition and duty/standby arrangement</x:v>
      </x:c>
      <x:c r="R17" s="26"/>
      <x:c r="S17" s="26" t="str">
        <x:f>IF(R17="","",IF(P17="Annual",EDATE(R17,12),IF(P17="6 monthly",EDATE(R17,6),IF(P17="Quarterly",EDATE(R17,3),""))))</x:f>
      </x:c>
      <x:c r="T17" s="22" t="str">
        <x:v>To be confirmed</x:v>
      </x:c>
      <x:c r="U17" s="26"/>
      <x:c r="V17" s="26"/>
      <x:c r="W17" s="22" t="str">
        <x:v>To be confirmed</x:v>
      </x:c>
      <x:c r="X17" s="22" t="str">
        <x:v>To be confirmed</x:v>
      </x:c>
      <x:c r="Y17" s="22" t="str"/>
      <x:c r="Z17" s="22" t="str"/>
      <x:c r="AA17" s="22" t="str">
        <x:v>Assess</x:v>
      </x:c>
      <x:c r="AB17" s="22" t="str"/>
      <x:c r="AC17" s="22" t="str"/>
    </x:row>
    <x:row r="18">
      <x:c r="A18" s="22" t="str">
        <x:v>P/SH/13</x:v>
      </x:c>
      <x:c r="B18" s="22" t="str">
        <x:v>Staff House Boiler Room</x:v>
      </x:c>
      <x:c r="C18" s="22" t="str">
        <x:v>Heating / DHW - verify</x:v>
      </x:c>
      <x:c r="D18" s="22" t="str">
        <x:v>Pump</x:v>
      </x:c>
      <x:c r="E18" s="22" t="str">
        <x:v>P/SH/13</x:v>
      </x:c>
      <x:c r="F18" s="22" t="str">
        <x:v>Wilo</x:v>
      </x:c>
      <x:c r="G18" s="22" t="str">
        <x:v>TOP-Z 25/6</x:v>
      </x:c>
      <x:c r="H18" s="22" t="str">
        <x:v>2045521/18W51</x:v>
      </x:c>
      <x:c r="I18" s="22" t="str">
        <x:v>Circulation / transfer - confirm</x:v>
      </x:c>
      <x:c r="J18" s="22" t="str"/>
      <x:c r="K18" s="22" t="str">
        <x:v>To be confirmed</x:v>
      </x:c>
      <x:c r="L18" s="22" t="str">
        <x:v>To be confirmed</x:v>
      </x:c>
      <x:c r="M18" s="22" t="str">
        <x:v>Not assessed</x:v>
      </x:c>
      <x:c r="N18" s="22" t="str">
        <x:v>Medium</x:v>
      </x:c>
      <x:c r="O18" s="22" t="str">
        <x:v>Operational - verify</x:v>
      </x:c>
      <x:c r="P18" s="22" t="str">
        <x:v>6 monthly visual / annual service</x:v>
      </x:c>
      <x:c r="Q18" s="22" t="str">
        <x:v>Check operation, seals, bearings, electrical condition and duty/standby arrangement</x:v>
      </x:c>
      <x:c r="R18" s="26"/>
      <x:c r="S18" s="26" t="str">
        <x:f>IF(R18="","",IF(P18="Annual",EDATE(R18,12),IF(P18="6 monthly",EDATE(R18,6),IF(P18="Quarterly",EDATE(R18,3),""))))</x:f>
      </x:c>
      <x:c r="T18" s="22" t="str">
        <x:v>To be confirmed</x:v>
      </x:c>
      <x:c r="U18" s="26"/>
      <x:c r="V18" s="26"/>
      <x:c r="W18" s="22" t="str">
        <x:v>To be confirmed</x:v>
      </x:c>
      <x:c r="X18" s="22" t="str">
        <x:v>To be confirmed</x:v>
      </x:c>
      <x:c r="Y18" s="22" t="str"/>
      <x:c r="Z18" s="22" t="str"/>
      <x:c r="AA18" s="22" t="str">
        <x:v>Assess</x:v>
      </x:c>
      <x:c r="AB18" s="22" t="str"/>
      <x:c r="AC18" s="22" t="str"/>
    </x:row>
    <x:row r="19">
      <x:c r="A19" s="22" t="str">
        <x:v>P/SH/5</x:v>
      </x:c>
      <x:c r="B19" s="22" t="str">
        <x:v>Staff House Boiler Room</x:v>
      </x:c>
      <x:c r="C19" s="22" t="str">
        <x:v>Heating / DHW - verify</x:v>
      </x:c>
      <x:c r="D19" s="22" t="str">
        <x:v>Pump</x:v>
      </x:c>
      <x:c r="E19" s="22" t="str">
        <x:v>P/SH/5</x:v>
      </x:c>
      <x:c r="F19" s="22" t="str">
        <x:v>Wilo</x:v>
      </x:c>
      <x:c r="G19" s="22" t="str">
        <x:v>LT4</x:v>
      </x:c>
      <x:c r="H19" s="22" t="str">
        <x:v>2041714 0719</x:v>
      </x:c>
      <x:c r="I19" s="22" t="str">
        <x:v>Circulation / transfer - confirm</x:v>
      </x:c>
      <x:c r="J19" s="22" t="str"/>
      <x:c r="K19" s="22" t="str">
        <x:v>To be confirmed</x:v>
      </x:c>
      <x:c r="L19" s="22" t="str">
        <x:v>To be confirmed</x:v>
      </x:c>
      <x:c r="M19" s="22" t="str">
        <x:v>Not assessed</x:v>
      </x:c>
      <x:c r="N19" s="22" t="str">
        <x:v>Medium</x:v>
      </x:c>
      <x:c r="O19" s="22" t="str">
        <x:v>Operational - verify</x:v>
      </x:c>
      <x:c r="P19" s="22" t="str">
        <x:v>6 monthly visual / annual service</x:v>
      </x:c>
      <x:c r="Q19" s="22" t="str">
        <x:v>Check operation, seals, bearings, electrical condition and duty/standby arrangement</x:v>
      </x:c>
      <x:c r="R19" s="26"/>
      <x:c r="S19" s="26" t="str">
        <x:f>IF(R19="","",IF(P19="Annual",EDATE(R19,12),IF(P19="6 monthly",EDATE(R19,6),IF(P19="Quarterly",EDATE(R19,3),""))))</x:f>
      </x:c>
      <x:c r="T19" s="22" t="str">
        <x:v>To be confirmed</x:v>
      </x:c>
      <x:c r="U19" s="26"/>
      <x:c r="V19" s="26"/>
      <x:c r="W19" s="22" t="str">
        <x:v>To be confirmed</x:v>
      </x:c>
      <x:c r="X19" s="22" t="str">
        <x:v>To be confirmed</x:v>
      </x:c>
      <x:c r="Y19" s="22" t="str"/>
      <x:c r="Z19" s="22" t="str"/>
      <x:c r="AA19" s="22" t="str">
        <x:v>Assess</x:v>
      </x:c>
      <x:c r="AB19" s="22" t="str"/>
      <x:c r="AC19" s="22" t="str"/>
    </x:row>
    <x:row r="20">
      <x:c r="A20" s="22" t="str">
        <x:v>P/SH/6</x:v>
      </x:c>
      <x:c r="B20" s="22" t="str">
        <x:v>Staff House Boiler Room</x:v>
      </x:c>
      <x:c r="C20" s="22" t="str">
        <x:v>Heating / DHW - verify</x:v>
      </x:c>
      <x:c r="D20" s="22" t="str">
        <x:v>Pump</x:v>
      </x:c>
      <x:c r="E20" s="22" t="str">
        <x:v>P/SH/6</x:v>
      </x:c>
      <x:c r="F20" s="22" t="str">
        <x:v>Wilo</x:v>
      </x:c>
      <x:c r="G20" s="22" t="str">
        <x:v>IE5 PM Drive</x:v>
      </x:c>
      <x:c r="H20" s="23" t="str">
        <x:v>346 3 /2960</x:v>
      </x:c>
      <x:c r="I20" s="22" t="str">
        <x:v>Circulation / transfer - confirm</x:v>
      </x:c>
      <x:c r="J20" s="22" t="str"/>
      <x:c r="K20" s="22" t="str">
        <x:v>To be confirmed</x:v>
      </x:c>
      <x:c r="L20" s="22" t="str">
        <x:v>To be confirmed</x:v>
      </x:c>
      <x:c r="M20" s="22" t="str">
        <x:v>Not assessed</x:v>
      </x:c>
      <x:c r="N20" s="22" t="str">
        <x:v>Medium</x:v>
      </x:c>
      <x:c r="O20" s="22" t="str">
        <x:v>Operational - verify</x:v>
      </x:c>
      <x:c r="P20" s="22" t="str">
        <x:v>6 monthly visual / annual service</x:v>
      </x:c>
      <x:c r="Q20" s="22" t="str">
        <x:v>Check operation, seals, bearings, electrical condition and duty/standby arrangement</x:v>
      </x:c>
      <x:c r="R20" s="26"/>
      <x:c r="S20" s="26" t="str">
        <x:f>IF(R20="","",IF(P20="Annual",EDATE(R20,12),IF(P20="6 monthly",EDATE(R20,6),IF(P20="Quarterly",EDATE(R20,3),""))))</x:f>
      </x:c>
      <x:c r="T20" s="22" t="str">
        <x:v>To be confirmed</x:v>
      </x:c>
      <x:c r="U20" s="26"/>
      <x:c r="V20" s="26"/>
      <x:c r="W20" s="22" t="str">
        <x:v>To be confirmed</x:v>
      </x:c>
      <x:c r="X20" s="22" t="str">
        <x:v>To be confirmed</x:v>
      </x:c>
      <x:c r="Y20" s="22" t="str"/>
      <x:c r="Z20" s="22" t="str"/>
      <x:c r="AA20" s="22" t="str">
        <x:v>Assess</x:v>
      </x:c>
      <x:c r="AB20" s="22" t="str"/>
      <x:c r="AC20" s="22" t="str"/>
    </x:row>
    <x:row r="21">
      <x:c r="A21" s="22" t="str">
        <x:v>P/SH/7</x:v>
      </x:c>
      <x:c r="B21" s="22" t="str">
        <x:v>Staff House Boiler Room</x:v>
      </x:c>
      <x:c r="C21" s="22" t="str">
        <x:v>Heating / DHW - verify</x:v>
      </x:c>
      <x:c r="D21" s="22" t="str">
        <x:v>Pump</x:v>
      </x:c>
      <x:c r="E21" s="22" t="str">
        <x:v>P/SH/7</x:v>
      </x:c>
      <x:c r="F21" s="22" t="str">
        <x:v>Wilo</x:v>
      </x:c>
      <x:c r="G21" s="22" t="str">
        <x:v>IP-E 50/105-0.75/2</x:v>
      </x:c>
      <x:c r="H21" s="22" t="str">
        <x:v>2258820/21W07</x:v>
      </x:c>
      <x:c r="I21" s="22" t="str">
        <x:v>Circulation / transfer - confirm</x:v>
      </x:c>
      <x:c r="J21" s="22" t="str"/>
      <x:c r="K21" s="22" t="str">
        <x:v>To be confirmed</x:v>
      </x:c>
      <x:c r="L21" s="22" t="str">
        <x:v>To be confirmed</x:v>
      </x:c>
      <x:c r="M21" s="22" t="str">
        <x:v>Not assessed</x:v>
      </x:c>
      <x:c r="N21" s="22" t="str">
        <x:v>Medium</x:v>
      </x:c>
      <x:c r="O21" s="22" t="str">
        <x:v>Operational - verify</x:v>
      </x:c>
      <x:c r="P21" s="22" t="str">
        <x:v>6 monthly visual / annual service</x:v>
      </x:c>
      <x:c r="Q21" s="22" t="str">
        <x:v>Check operation, seals, bearings, electrical condition and duty/standby arrangement</x:v>
      </x:c>
      <x:c r="R21" s="26"/>
      <x:c r="S21" s="26" t="str">
        <x:f>IF(R21="","",IF(P21="Annual",EDATE(R21,12),IF(P21="6 monthly",EDATE(R21,6),IF(P21="Quarterly",EDATE(R21,3),""))))</x:f>
      </x:c>
      <x:c r="T21" s="22" t="str">
        <x:v>To be confirmed</x:v>
      </x:c>
      <x:c r="U21" s="26"/>
      <x:c r="V21" s="26"/>
      <x:c r="W21" s="22" t="str">
        <x:v>To be confirmed</x:v>
      </x:c>
      <x:c r="X21" s="22" t="str">
        <x:v>To be confirmed</x:v>
      </x:c>
      <x:c r="Y21" s="22" t="str"/>
      <x:c r="Z21" s="22" t="str"/>
      <x:c r="AA21" s="22" t="str">
        <x:v>Assess</x:v>
      </x:c>
      <x:c r="AB21" s="22" t="str"/>
      <x:c r="AC21" s="22" t="str"/>
    </x:row>
    <x:row r="22">
      <x:c r="A22" s="22" t="str">
        <x:v>P/SH/8</x:v>
      </x:c>
      <x:c r="B22" s="22" t="str">
        <x:v>Staff House Boiler Room</x:v>
      </x:c>
      <x:c r="C22" s="22" t="str">
        <x:v>Heating / DHW - verify</x:v>
      </x:c>
      <x:c r="D22" s="22" t="str">
        <x:v>Pump</x:v>
      </x:c>
      <x:c r="E22" s="22" t="str">
        <x:v>P/SH/8</x:v>
      </x:c>
      <x:c r="F22" s="22" t="str">
        <x:v>Wilo</x:v>
      </x:c>
      <x:c r="G22" s="22" t="str">
        <x:v>IE5 PM Drive</x:v>
      </x:c>
      <x:c r="H22" s="22" t="str">
        <x:v>318 0.7/3000</x:v>
      </x:c>
      <x:c r="I22" s="22" t="str">
        <x:v>Circulation / transfer - confirm</x:v>
      </x:c>
      <x:c r="J22" s="22" t="str"/>
      <x:c r="K22" s="22" t="str">
        <x:v>To be confirmed</x:v>
      </x:c>
      <x:c r="L22" s="22" t="str">
        <x:v>To be confirmed</x:v>
      </x:c>
      <x:c r="M22" s="22" t="str">
        <x:v>Not assessed</x:v>
      </x:c>
      <x:c r="N22" s="22" t="str">
        <x:v>Medium</x:v>
      </x:c>
      <x:c r="O22" s="22" t="str">
        <x:v>Operational - verify</x:v>
      </x:c>
      <x:c r="P22" s="22" t="str">
        <x:v>6 monthly visual / annual service</x:v>
      </x:c>
      <x:c r="Q22" s="22" t="str">
        <x:v>Check operation, seals, bearings, electrical condition and duty/standby arrangement</x:v>
      </x:c>
      <x:c r="R22" s="26"/>
      <x:c r="S22" s="26" t="str">
        <x:f>IF(R22="","",IF(P22="Annual",EDATE(R22,12),IF(P22="6 monthly",EDATE(R22,6),IF(P22="Quarterly",EDATE(R22,3),""))))</x:f>
      </x:c>
      <x:c r="T22" s="22" t="str">
        <x:v>To be confirmed</x:v>
      </x:c>
      <x:c r="U22" s="26"/>
      <x:c r="V22" s="26"/>
      <x:c r="W22" s="22" t="str">
        <x:v>To be confirmed</x:v>
      </x:c>
      <x:c r="X22" s="22" t="str">
        <x:v>To be confirmed</x:v>
      </x:c>
      <x:c r="Y22" s="22" t="str"/>
      <x:c r="Z22" s="22" t="str"/>
      <x:c r="AA22" s="22" t="str">
        <x:v>Assess</x:v>
      </x:c>
      <x:c r="AB22" s="22" t="str"/>
      <x:c r="AC22" s="22" t="str"/>
    </x:row>
    <x:row r="23">
      <x:c r="A23" s="22" t="str">
        <x:v>P/SH/3</x:v>
      </x:c>
      <x:c r="B23" s="22" t="str">
        <x:v>Staff House Boiler Room</x:v>
      </x:c>
      <x:c r="C23" s="22" t="str">
        <x:v>Heating / DHW - verify</x:v>
      </x:c>
      <x:c r="D23" s="22" t="str">
        <x:v>Pump</x:v>
      </x:c>
      <x:c r="E23" s="22" t="str">
        <x:v>P/SH/3</x:v>
      </x:c>
      <x:c r="F23" s="22" t="str">
        <x:v>Wilo</x:v>
      </x:c>
      <x:c r="G23" s="22" t="str">
        <x:v>IP-E 80/105-3/2-IE4</x:v>
      </x:c>
      <x:c r="H23" s="22" t="str">
        <x:v>2153829/20W21</x:v>
      </x:c>
      <x:c r="I23" s="22" t="str">
        <x:v>Circulation / transfer - confirm</x:v>
      </x:c>
      <x:c r="J23" s="22" t="str"/>
      <x:c r="K23" s="22" t="str">
        <x:v>To be confirmed</x:v>
      </x:c>
      <x:c r="L23" s="22" t="str">
        <x:v>To be confirmed</x:v>
      </x:c>
      <x:c r="M23" s="22" t="str">
        <x:v>Not assessed</x:v>
      </x:c>
      <x:c r="N23" s="22" t="str">
        <x:v>Medium</x:v>
      </x:c>
      <x:c r="O23" s="22" t="str">
        <x:v>Operational - verify</x:v>
      </x:c>
      <x:c r="P23" s="22" t="str">
        <x:v>6 monthly visual / annual service</x:v>
      </x:c>
      <x:c r="Q23" s="22" t="str">
        <x:v>Check operation, seals, bearings, electrical condition and duty/standby arrangement</x:v>
      </x:c>
      <x:c r="R23" s="26"/>
      <x:c r="S23" s="26" t="str">
        <x:f>IF(R23="","",IF(P23="Annual",EDATE(R23,12),IF(P23="6 monthly",EDATE(R23,6),IF(P23="Quarterly",EDATE(R23,3),""))))</x:f>
      </x:c>
      <x:c r="T23" s="22" t="str">
        <x:v>To be confirmed</x:v>
      </x:c>
      <x:c r="U23" s="26"/>
      <x:c r="V23" s="26"/>
      <x:c r="W23" s="22" t="str">
        <x:v>To be confirmed</x:v>
      </x:c>
      <x:c r="X23" s="22" t="str">
        <x:v>To be confirmed</x:v>
      </x:c>
      <x:c r="Y23" s="22" t="str"/>
      <x:c r="Z23" s="22" t="str"/>
      <x:c r="AA23" s="22" t="str">
        <x:v>Assess</x:v>
      </x:c>
      <x:c r="AB23" s="22" t="str"/>
      <x:c r="AC23" s="22" t="str"/>
    </x:row>
    <x:row r="24">
      <x:c r="A24" s="22" t="str">
        <x:v>P/SH/4</x:v>
      </x:c>
      <x:c r="B24" s="22" t="str">
        <x:v>Staff House Boiler Room</x:v>
      </x:c>
      <x:c r="C24" s="22" t="str">
        <x:v>Heating / DHW - verify</x:v>
      </x:c>
      <x:c r="D24" s="22" t="str">
        <x:v>Pump</x:v>
      </x:c>
      <x:c r="E24" s="22" t="str">
        <x:v>P/SH/4</x:v>
      </x:c>
      <x:c r="F24" s="22" t="str">
        <x:v>Wilo</x:v>
      </x:c>
      <x:c r="G24" s="22" t="str">
        <x:v>IP-E 80/105-3/2-IE4</x:v>
      </x:c>
      <x:c r="H24" s="22" t="str">
        <x:v>2153434/15W21</x:v>
      </x:c>
      <x:c r="I24" s="22" t="str">
        <x:v>Circulation / transfer - confirm</x:v>
      </x:c>
      <x:c r="J24" s="22" t="str"/>
      <x:c r="K24" s="22" t="str">
        <x:v>To be confirmed</x:v>
      </x:c>
      <x:c r="L24" s="22" t="str">
        <x:v>To be confirmed</x:v>
      </x:c>
      <x:c r="M24" s="22" t="str">
        <x:v>Not assessed</x:v>
      </x:c>
      <x:c r="N24" s="22" t="str">
        <x:v>Medium</x:v>
      </x:c>
      <x:c r="O24" s="22" t="str">
        <x:v>Operational - verify</x:v>
      </x:c>
      <x:c r="P24" s="22" t="str">
        <x:v>6 monthly visual / annual service</x:v>
      </x:c>
      <x:c r="Q24" s="22" t="str">
        <x:v>Check operation, seals, bearings, electrical condition and duty/standby arrangement</x:v>
      </x:c>
      <x:c r="R24" s="26"/>
      <x:c r="S24" s="26" t="str">
        <x:f>IF(R24="","",IF(P24="Annual",EDATE(R24,12),IF(P24="6 monthly",EDATE(R24,6),IF(P24="Quarterly",EDATE(R24,3),""))))</x:f>
      </x:c>
      <x:c r="T24" s="22" t="str">
        <x:v>To be confirmed</x:v>
      </x:c>
      <x:c r="U24" s="26"/>
      <x:c r="V24" s="26"/>
      <x:c r="W24" s="22" t="str">
        <x:v>To be confirmed</x:v>
      </x:c>
      <x:c r="X24" s="22" t="str">
        <x:v>To be confirmed</x:v>
      </x:c>
      <x:c r="Y24" s="22" t="str"/>
      <x:c r="Z24" s="22" t="str"/>
      <x:c r="AA24" s="22" t="str">
        <x:v>Assess</x:v>
      </x:c>
      <x:c r="AB24" s="22" t="str"/>
      <x:c r="AC24" s="22" t="str"/>
    </x:row>
    <x:row r="25">
      <x:c r="A25" s="22" t="str">
        <x:v>B/SH/1</x:v>
      </x:c>
      <x:c r="B25" s="22" t="str">
        <x:v>Staff House Boiler Room</x:v>
      </x:c>
      <x:c r="C25" s="22" t="str">
        <x:v>LTHW heating generation</x:v>
      </x:c>
      <x:c r="D25" s="22" t="str">
        <x:v>Boiler</x:v>
      </x:c>
      <x:c r="E25" s="22" t="str">
        <x:v>B/SH/1</x:v>
      </x:c>
      <x:c r="F25" s="22" t="str">
        <x:v>Roca</x:v>
      </x:c>
      <x:c r="G25" s="22" t="str">
        <x:v>GPA 400</x:v>
      </x:c>
      <x:c r="H25" s="22" t="str">
        <x:v>160192022</x:v>
      </x:c>
      <x:c r="I25" s="22" t="str">
        <x:v>Heat generation</x:v>
      </x:c>
      <x:c r="J25" s="22" t="str"/>
      <x:c r="K25" s="22" t="str">
        <x:v>To be confirmed</x:v>
      </x:c>
      <x:c r="L25" s="22" t="str">
        <x:v>To be confirmed</x:v>
      </x:c>
      <x:c r="M25" s="22" t="str">
        <x:v>Not assessed</x:v>
      </x:c>
      <x:c r="N25" s="22" t="str">
        <x:v>High</x:v>
      </x:c>
      <x:c r="O25" s="22" t="str">
        <x:v>Operational - verify</x:v>
      </x:c>
      <x:c r="P25" s="22" t="str">
        <x:v>Annual</x:v>
      </x:c>
      <x:c r="Q25" s="22" t="str">
        <x:v>Confirm Gas Safety servicing and inclusion within site combustion / PSSR arrangements</x:v>
      </x:c>
      <x:c r="R25" s="26"/>
      <x:c r="S25" s="26" t="str">
        <x:f>IF(R25="","",IF(P25="Annual",EDATE(R25,12),IF(P25="6 monthly",EDATE(R25,6),IF(P25="Quarterly",EDATE(R25,3),""))))</x:f>
      </x:c>
      <x:c r="T25" s="22" t="str">
        <x:v>To be confirmed</x:v>
      </x:c>
      <x:c r="U25" s="26"/>
      <x:c r="V25" s="26"/>
      <x:c r="W25" s="22" t="str">
        <x:v>To be confirmed</x:v>
      </x:c>
      <x:c r="X25" s="22" t="str">
        <x:v>To be confirmed</x:v>
      </x:c>
      <x:c r="Y25" s="22" t="str"/>
      <x:c r="Z25" s="22" t="str"/>
      <x:c r="AA25" s="22" t="str">
        <x:v>Assess</x:v>
      </x:c>
      <x:c r="AB25" s="22" t="str"/>
      <x:c r="AC25" s="22" t="str"/>
    </x:row>
    <x:row r="26">
      <x:c r="A26" s="22" t="str">
        <x:v>B/SH/2</x:v>
      </x:c>
      <x:c r="B26" s="22" t="str">
        <x:v>Staff House Boiler Room</x:v>
      </x:c>
      <x:c r="C26" s="22" t="str">
        <x:v>LTHW heating generation</x:v>
      </x:c>
      <x:c r="D26" s="22" t="str">
        <x:v>Boiler</x:v>
      </x:c>
      <x:c r="E26" s="22" t="str">
        <x:v>B/SH/2</x:v>
      </x:c>
      <x:c r="F26" s="22" t="str">
        <x:v>Roca</x:v>
      </x:c>
      <x:c r="G26" s="22" t="str">
        <x:v>GPA 400</x:v>
      </x:c>
      <x:c r="H26" s="22" t="str">
        <x:v>199192023</x:v>
      </x:c>
      <x:c r="I26" s="22" t="str">
        <x:v>Heat generation</x:v>
      </x:c>
      <x:c r="J26" s="22" t="str"/>
      <x:c r="K26" s="22" t="str">
        <x:v>To be confirmed</x:v>
      </x:c>
      <x:c r="L26" s="22" t="str">
        <x:v>To be confirmed</x:v>
      </x:c>
      <x:c r="M26" s="22" t="str">
        <x:v>Not assessed</x:v>
      </x:c>
      <x:c r="N26" s="22" t="str">
        <x:v>High</x:v>
      </x:c>
      <x:c r="O26" s="22" t="str">
        <x:v>Operational - verify</x:v>
      </x:c>
      <x:c r="P26" s="22" t="str">
        <x:v>Annual</x:v>
      </x:c>
      <x:c r="Q26" s="22" t="str">
        <x:v>Confirm Gas Safety servicing and inclusion within site combustion / PSSR arrangements</x:v>
      </x:c>
      <x:c r="R26" s="26"/>
      <x:c r="S26" s="26" t="str">
        <x:f>IF(R26="","",IF(P26="Annual",EDATE(R26,12),IF(P26="6 monthly",EDATE(R26,6),IF(P26="Quarterly",EDATE(R26,3),""))))</x:f>
      </x:c>
      <x:c r="T26" s="22" t="str">
        <x:v>To be confirmed</x:v>
      </x:c>
      <x:c r="U26" s="26"/>
      <x:c r="V26" s="26"/>
      <x:c r="W26" s="22" t="str">
        <x:v>To be confirmed</x:v>
      </x:c>
      <x:c r="X26" s="22" t="str">
        <x:v>To be confirmed</x:v>
      </x:c>
      <x:c r="Y26" s="22" t="str"/>
      <x:c r="Z26" s="22" t="str"/>
      <x:c r="AA26" s="22" t="str">
        <x:v>Assess</x:v>
      </x:c>
      <x:c r="AB26" s="22" t="str"/>
      <x:c r="AC26" s="22" t="str"/>
    </x:row>
    <x:row r="27">
      <x:c r="A27" s="22" t="str">
        <x:v>B/SH/3</x:v>
      </x:c>
      <x:c r="B27" s="22" t="str">
        <x:v>Staff House Boiler Room</x:v>
      </x:c>
      <x:c r="C27" s="22" t="str">
        <x:v>LTHW heating generation</x:v>
      </x:c>
      <x:c r="D27" s="22" t="str">
        <x:v>Boiler</x:v>
      </x:c>
      <x:c r="E27" s="22" t="str">
        <x:v>B/SH/3</x:v>
      </x:c>
      <x:c r="F27" s="22" t="str">
        <x:v>Roca</x:v>
      </x:c>
      <x:c r="G27" s="22" t="str">
        <x:v>GPA 400</x:v>
      </x:c>
      <x:c r="H27" s="22" t="str">
        <x:v>199192019</x:v>
      </x:c>
      <x:c r="I27" s="22" t="str">
        <x:v>Heat generation</x:v>
      </x:c>
      <x:c r="J27" s="22" t="str"/>
      <x:c r="K27" s="22" t="str">
        <x:v>To be confirmed</x:v>
      </x:c>
      <x:c r="L27" s="22" t="str">
        <x:v>To be confirmed</x:v>
      </x:c>
      <x:c r="M27" s="22" t="str">
        <x:v>Not assessed</x:v>
      </x:c>
      <x:c r="N27" s="22" t="str">
        <x:v>High</x:v>
      </x:c>
      <x:c r="O27" s="22" t="str">
        <x:v>Operational - verify</x:v>
      </x:c>
      <x:c r="P27" s="22" t="str">
        <x:v>Annual</x:v>
      </x:c>
      <x:c r="Q27" s="22" t="str">
        <x:v>Confirm Gas Safety servicing and inclusion within site combustion / PSSR arrangements</x:v>
      </x:c>
      <x:c r="R27" s="26"/>
      <x:c r="S27" s="26" t="str">
        <x:f>IF(R27="","",IF(P27="Annual",EDATE(R27,12),IF(P27="6 monthly",EDATE(R27,6),IF(P27="Quarterly",EDATE(R27,3),""))))</x:f>
      </x:c>
      <x:c r="T27" s="22" t="str">
        <x:v>To be confirmed</x:v>
      </x:c>
      <x:c r="U27" s="26"/>
      <x:c r="V27" s="26"/>
      <x:c r="W27" s="22" t="str">
        <x:v>To be confirmed</x:v>
      </x:c>
      <x:c r="X27" s="22" t="str">
        <x:v>To be confirmed</x:v>
      </x:c>
      <x:c r="Y27" s="22" t="str"/>
      <x:c r="Z27" s="22" t="str"/>
      <x:c r="AA27" s="22" t="str">
        <x:v>Assess</x:v>
      </x:c>
      <x:c r="AB27" s="22" t="str"/>
      <x:c r="AC27" s="22" t="str"/>
    </x:row>
    <x:row r="28">
      <x:c r="R28" s="27"/>
      <x:c r="S28" s="27"/>
      <x:c r="U28" s="27"/>
      <x:c r="V28" s="27"/>
    </x:row>
    <x:row r="29">
      <x:c r="R29" s="27"/>
      <x:c r="S29" s="27"/>
      <x:c r="U29" s="27"/>
      <x:c r="V29" s="27"/>
    </x:row>
    <x:row r="30">
      <x:c r="R30" s="27"/>
      <x:c r="S30" s="27"/>
      <x:c r="U30" s="27"/>
      <x:c r="V30" s="27"/>
    </x:row>
    <x:row r="31">
      <x:c r="R31" s="27"/>
      <x:c r="S31" s="27"/>
      <x:c r="U31" s="27"/>
      <x:c r="V31" s="27"/>
    </x:row>
    <x:row r="32">
      <x:c r="R32" s="27"/>
      <x:c r="S32" s="27"/>
      <x:c r="U32" s="27"/>
      <x:c r="V32" s="27"/>
    </x:row>
    <x:row r="33">
      <x:c r="R33" s="27"/>
      <x:c r="S33" s="27"/>
      <x:c r="U33" s="27"/>
      <x:c r="V33" s="27"/>
    </x:row>
    <x:row r="34">
      <x:c r="R34" s="27"/>
      <x:c r="S34" s="27"/>
      <x:c r="U34" s="27"/>
      <x:c r="V34" s="27"/>
    </x:row>
    <x:row r="35">
      <x:c r="R35" s="27"/>
      <x:c r="S35" s="27"/>
      <x:c r="U35" s="27"/>
      <x:c r="V35" s="27"/>
    </x:row>
    <x:row r="36">
      <x:c r="R36" s="27"/>
      <x:c r="S36" s="27"/>
      <x:c r="U36" s="27"/>
      <x:c r="V36" s="27"/>
    </x:row>
    <x:row r="37">
      <x:c r="R37" s="27"/>
      <x:c r="S37" s="27"/>
      <x:c r="U37" s="27"/>
      <x:c r="V37" s="27"/>
    </x:row>
    <x:row r="38">
      <x:c r="R38" s="27"/>
      <x:c r="S38" s="27"/>
      <x:c r="U38" s="27"/>
      <x:c r="V38" s="27"/>
    </x:row>
    <x:row r="39">
      <x:c r="R39" s="27"/>
      <x:c r="S39" s="27"/>
      <x:c r="U39" s="27"/>
      <x:c r="V39" s="27"/>
    </x:row>
    <x:row r="40">
      <x:c r="R40" s="27"/>
      <x:c r="S40" s="27"/>
      <x:c r="U40" s="27"/>
      <x:c r="V40" s="27"/>
    </x:row>
    <x:row r="41">
      <x:c r="R41" s="27"/>
      <x:c r="S41" s="27"/>
      <x:c r="U41" s="27"/>
      <x:c r="V41" s="27"/>
    </x:row>
    <x:row r="42">
      <x:c r="R42" s="27"/>
      <x:c r="S42" s="27"/>
      <x:c r="U42" s="27"/>
      <x:c r="V42" s="27"/>
    </x:row>
    <x:row r="43">
      <x:c r="R43" s="27"/>
      <x:c r="S43" s="27"/>
      <x:c r="U43" s="27"/>
      <x:c r="V43" s="27"/>
    </x:row>
    <x:row r="44">
      <x:c r="R44" s="27"/>
      <x:c r="S44" s="27"/>
      <x:c r="U44" s="27"/>
      <x:c r="V44" s="27"/>
    </x:row>
    <x:row r="45">
      <x:c r="R45" s="27"/>
      <x:c r="S45" s="27"/>
      <x:c r="U45" s="27"/>
      <x:c r="V45" s="27"/>
    </x:row>
    <x:row r="46">
      <x:c r="R46" s="27"/>
      <x:c r="S46" s="27"/>
      <x:c r="U46" s="27"/>
      <x:c r="V46" s="27"/>
    </x:row>
    <x:row r="47">
      <x:c r="R47" s="27"/>
      <x:c r="S47" s="27"/>
      <x:c r="U47" s="27"/>
      <x:c r="V47" s="27"/>
    </x:row>
    <x:row r="48">
      <x:c r="R48" s="27"/>
      <x:c r="S48" s="27"/>
      <x:c r="U48" s="27"/>
      <x:c r="V48" s="27"/>
    </x:row>
    <x:row r="49">
      <x:c r="R49" s="27"/>
      <x:c r="S49" s="27"/>
      <x:c r="U49" s="27"/>
      <x:c r="V49" s="27"/>
    </x:row>
    <x:row r="50">
      <x:c r="R50" s="27"/>
      <x:c r="S50" s="27"/>
      <x:c r="U50" s="27"/>
      <x:c r="V50" s="27"/>
    </x:row>
    <x:row r="51">
      <x:c r="R51" s="27"/>
      <x:c r="S51" s="27"/>
      <x:c r="U51" s="27"/>
      <x:c r="V51" s="27"/>
    </x:row>
    <x:row r="52">
      <x:c r="R52" s="27"/>
      <x:c r="S52" s="27"/>
      <x:c r="U52" s="27"/>
      <x:c r="V52" s="27"/>
    </x:row>
    <x:row r="53">
      <x:c r="R53" s="27"/>
      <x:c r="S53" s="27"/>
      <x:c r="U53" s="27"/>
      <x:c r="V53" s="27"/>
    </x:row>
    <x:row r="54">
      <x:c r="R54" s="27"/>
      <x:c r="S54" s="27"/>
      <x:c r="U54" s="27"/>
      <x:c r="V54" s="27"/>
    </x:row>
    <x:row r="55">
      <x:c r="R55" s="27"/>
      <x:c r="S55" s="27"/>
      <x:c r="U55" s="27"/>
      <x:c r="V55" s="27"/>
    </x:row>
    <x:row r="56">
      <x:c r="R56" s="27"/>
      <x:c r="S56" s="27"/>
      <x:c r="U56" s="27"/>
      <x:c r="V56" s="27"/>
    </x:row>
    <x:row r="57">
      <x:c r="R57" s="27"/>
      <x:c r="S57" s="27"/>
      <x:c r="U57" s="27"/>
      <x:c r="V57" s="27"/>
    </x:row>
    <x:row r="58">
      <x:c r="R58" s="27"/>
      <x:c r="S58" s="27"/>
      <x:c r="U58" s="27"/>
      <x:c r="V58" s="27"/>
    </x:row>
    <x:row r="59">
      <x:c r="R59" s="27"/>
      <x:c r="S59" s="27"/>
      <x:c r="U59" s="27"/>
      <x:c r="V59" s="27"/>
    </x:row>
    <x:row r="60">
      <x:c r="R60" s="27"/>
      <x:c r="S60" s="27"/>
      <x:c r="U60" s="27"/>
      <x:c r="V60" s="27"/>
    </x:row>
    <x:row r="61">
      <x:c r="R61" s="27"/>
      <x:c r="S61" s="27"/>
      <x:c r="U61" s="27"/>
      <x:c r="V61" s="27"/>
    </x:row>
    <x:row r="62">
      <x:c r="R62" s="27"/>
      <x:c r="S62" s="27"/>
      <x:c r="U62" s="27"/>
      <x:c r="V62" s="27"/>
    </x:row>
    <x:row r="63">
      <x:c r="R63" s="27"/>
      <x:c r="S63" s="27"/>
      <x:c r="U63" s="27"/>
      <x:c r="V63" s="27"/>
    </x:row>
    <x:row r="64">
      <x:c r="R64" s="27"/>
      <x:c r="S64" s="27"/>
      <x:c r="U64" s="27"/>
      <x:c r="V64" s="27"/>
    </x:row>
    <x:row r="65">
      <x:c r="R65" s="27"/>
      <x:c r="S65" s="27"/>
      <x:c r="U65" s="27"/>
      <x:c r="V65" s="27"/>
    </x:row>
    <x:row r="66">
      <x:c r="R66" s="27"/>
      <x:c r="S66" s="27"/>
      <x:c r="U66" s="27"/>
      <x:c r="V66" s="27"/>
    </x:row>
    <x:row r="67">
      <x:c r="R67" s="27"/>
      <x:c r="S67" s="27"/>
      <x:c r="U67" s="27"/>
      <x:c r="V67" s="27"/>
    </x:row>
    <x:row r="68">
      <x:c r="R68" s="27"/>
      <x:c r="S68" s="27"/>
      <x:c r="U68" s="27"/>
      <x:c r="V68" s="27"/>
    </x:row>
    <x:row r="69">
      <x:c r="R69" s="27"/>
      <x:c r="S69" s="27"/>
      <x:c r="U69" s="27"/>
      <x:c r="V69" s="27"/>
    </x:row>
    <x:row r="70">
      <x:c r="R70" s="27"/>
      <x:c r="S70" s="27"/>
      <x:c r="U70" s="27"/>
      <x:c r="V70" s="27"/>
    </x:row>
    <x:row r="71">
      <x:c r="R71" s="27"/>
      <x:c r="S71" s="27"/>
      <x:c r="U71" s="27"/>
      <x:c r="V71" s="27"/>
    </x:row>
    <x:row r="72">
      <x:c r="R72" s="27"/>
      <x:c r="S72" s="27"/>
      <x:c r="U72" s="27"/>
      <x:c r="V72" s="27"/>
    </x:row>
    <x:row r="73">
      <x:c r="R73" s="27"/>
      <x:c r="S73" s="27"/>
      <x:c r="U73" s="27"/>
      <x:c r="V73" s="27"/>
    </x:row>
    <x:row r="74">
      <x:c r="R74" s="27"/>
      <x:c r="S74" s="27"/>
      <x:c r="U74" s="27"/>
      <x:c r="V74" s="27"/>
    </x:row>
    <x:row r="75">
      <x:c r="R75" s="27"/>
      <x:c r="S75" s="27"/>
      <x:c r="U75" s="27"/>
      <x:c r="V75" s="27"/>
    </x:row>
    <x:row r="76">
      <x:c r="R76" s="27"/>
      <x:c r="S76" s="27"/>
      <x:c r="U76" s="27"/>
      <x:c r="V76" s="27"/>
    </x:row>
    <x:row r="77">
      <x:c r="R77" s="27"/>
      <x:c r="S77" s="27"/>
      <x:c r="U77" s="27"/>
      <x:c r="V77" s="27"/>
    </x:row>
    <x:row r="78">
      <x:c r="R78" s="27"/>
      <x:c r="S78" s="27"/>
      <x:c r="U78" s="27"/>
      <x:c r="V78" s="27"/>
    </x:row>
    <x:row r="79">
      <x:c r="R79" s="27"/>
      <x:c r="S79" s="27"/>
      <x:c r="U79" s="27"/>
      <x:c r="V79" s="27"/>
    </x:row>
    <x:row r="80">
      <x:c r="R80" s="27"/>
      <x:c r="S80" s="27"/>
      <x:c r="U80" s="27"/>
      <x:c r="V80" s="27"/>
    </x:row>
    <x:row r="81">
      <x:c r="R81" s="27"/>
      <x:c r="S81" s="27"/>
      <x:c r="U81" s="27"/>
      <x:c r="V81" s="27"/>
    </x:row>
    <x:row r="82">
      <x:c r="R82" s="27"/>
      <x:c r="S82" s="27"/>
      <x:c r="U82" s="27"/>
      <x:c r="V82" s="27"/>
    </x:row>
    <x:row r="83">
      <x:c r="R83" s="27"/>
      <x:c r="S83" s="27"/>
      <x:c r="U83" s="27"/>
      <x:c r="V83" s="27"/>
    </x:row>
    <x:row r="84">
      <x:c r="R84" s="27"/>
      <x:c r="S84" s="27"/>
      <x:c r="U84" s="27"/>
      <x:c r="V84" s="27"/>
    </x:row>
    <x:row r="85">
      <x:c r="R85" s="27"/>
      <x:c r="S85" s="27"/>
      <x:c r="U85" s="27"/>
      <x:c r="V85" s="27"/>
    </x:row>
    <x:row r="86">
      <x:c r="R86" s="27"/>
      <x:c r="S86" s="27"/>
      <x:c r="U86" s="27"/>
      <x:c r="V86" s="27"/>
    </x:row>
    <x:row r="87">
      <x:c r="R87" s="27"/>
      <x:c r="S87" s="27"/>
      <x:c r="U87" s="27"/>
      <x:c r="V87" s="27"/>
    </x:row>
    <x:row r="88">
      <x:c r="R88" s="27"/>
      <x:c r="S88" s="27"/>
      <x:c r="U88" s="27"/>
      <x:c r="V88" s="27"/>
    </x:row>
    <x:row r="89">
      <x:c r="R89" s="27"/>
      <x:c r="S89" s="27"/>
      <x:c r="U89" s="27"/>
      <x:c r="V89" s="27"/>
    </x:row>
    <x:row r="90">
      <x:c r="R90" s="27"/>
      <x:c r="S90" s="27"/>
      <x:c r="U90" s="27"/>
      <x:c r="V90" s="27"/>
    </x:row>
    <x:row r="91">
      <x:c r="R91" s="27"/>
      <x:c r="S91" s="27"/>
      <x:c r="U91" s="27"/>
      <x:c r="V91" s="27"/>
    </x:row>
    <x:row r="92">
      <x:c r="R92" s="27"/>
      <x:c r="S92" s="27"/>
      <x:c r="U92" s="27"/>
      <x:c r="V92" s="27"/>
    </x:row>
    <x:row r="93">
      <x:c r="R93" s="27"/>
      <x:c r="S93" s="27"/>
      <x:c r="U93" s="27"/>
      <x:c r="V93" s="27"/>
    </x:row>
    <x:row r="94">
      <x:c r="R94" s="27"/>
      <x:c r="S94" s="27"/>
      <x:c r="U94" s="27"/>
      <x:c r="V94" s="27"/>
    </x:row>
    <x:row r="95">
      <x:c r="R95" s="27"/>
      <x:c r="S95" s="27"/>
      <x:c r="U95" s="27"/>
      <x:c r="V95" s="27"/>
    </x:row>
    <x:row r="96">
      <x:c r="R96" s="27"/>
      <x:c r="S96" s="27"/>
      <x:c r="U96" s="27"/>
      <x:c r="V96" s="27"/>
    </x:row>
    <x:row r="97">
      <x:c r="R97" s="27"/>
      <x:c r="S97" s="27"/>
      <x:c r="U97" s="27"/>
      <x:c r="V97" s="27"/>
    </x:row>
    <x:row r="98">
      <x:c r="R98" s="27"/>
      <x:c r="S98" s="27"/>
      <x:c r="U98" s="27"/>
      <x:c r="V98" s="27"/>
    </x:row>
    <x:row r="99">
      <x:c r="R99" s="27"/>
      <x:c r="S99" s="27"/>
      <x:c r="U99" s="27"/>
      <x:c r="V99" s="27"/>
    </x:row>
    <x:row r="100">
      <x:c r="R100" s="27"/>
      <x:c r="S100" s="27"/>
      <x:c r="U100" s="27"/>
      <x:c r="V100" s="27"/>
    </x:row>
    <x:row r="101">
      <x:c r="R101" s="27"/>
      <x:c r="S101" s="27"/>
      <x:c r="U101" s="27"/>
      <x:c r="V101" s="27"/>
    </x:row>
    <x:row r="102">
      <x:c r="R102" s="27"/>
      <x:c r="S102" s="27"/>
      <x:c r="U102" s="27"/>
      <x:c r="V102" s="27"/>
    </x:row>
    <x:row r="103">
      <x:c r="R103" s="27"/>
      <x:c r="S103" s="27"/>
      <x:c r="U103" s="27"/>
      <x:c r="V103" s="27"/>
    </x:row>
    <x:row r="104">
      <x:c r="R104" s="27"/>
      <x:c r="S104" s="27"/>
      <x:c r="U104" s="27"/>
      <x:c r="V104" s="27"/>
    </x:row>
    <x:row r="105">
      <x:c r="R105" s="27"/>
      <x:c r="S105" s="27"/>
      <x:c r="U105" s="27"/>
      <x:c r="V105" s="27"/>
    </x:row>
    <x:row r="106">
      <x:c r="R106" s="27"/>
      <x:c r="S106" s="27"/>
      <x:c r="U106" s="27"/>
      <x:c r="V106" s="27"/>
    </x:row>
    <x:row r="107">
      <x:c r="R107" s="27"/>
      <x:c r="S107" s="27"/>
      <x:c r="U107" s="27"/>
      <x:c r="V107" s="27"/>
    </x:row>
    <x:row r="108">
      <x:c r="R108" s="27"/>
      <x:c r="S108" s="27"/>
      <x:c r="U108" s="27"/>
      <x:c r="V108" s="27"/>
    </x:row>
    <x:row r="109">
      <x:c r="R109" s="27"/>
      <x:c r="S109" s="27"/>
      <x:c r="U109" s="27"/>
      <x:c r="V109" s="27"/>
    </x:row>
    <x:row r="110">
      <x:c r="R110" s="27"/>
      <x:c r="S110" s="27"/>
      <x:c r="U110" s="27"/>
      <x:c r="V110" s="27"/>
    </x:row>
    <x:row r="111">
      <x:c r="R111" s="27"/>
      <x:c r="S111" s="27"/>
      <x:c r="U111" s="27"/>
      <x:c r="V111" s="27"/>
    </x:row>
    <x:row r="112">
      <x:c r="R112" s="27"/>
      <x:c r="S112" s="27"/>
      <x:c r="U112" s="27"/>
      <x:c r="V112" s="27"/>
    </x:row>
    <x:row r="113">
      <x:c r="R113" s="27"/>
      <x:c r="S113" s="27"/>
      <x:c r="U113" s="27"/>
      <x:c r="V113" s="27"/>
    </x:row>
    <x:row r="114">
      <x:c r="R114" s="27"/>
      <x:c r="S114" s="27"/>
      <x:c r="U114" s="27"/>
      <x:c r="V114" s="27"/>
    </x:row>
    <x:row r="115">
      <x:c r="R115" s="27"/>
      <x:c r="S115" s="27"/>
      <x:c r="U115" s="27"/>
      <x:c r="V115" s="27"/>
    </x:row>
    <x:row r="116">
      <x:c r="R116" s="27"/>
      <x:c r="S116" s="27"/>
      <x:c r="U116" s="27"/>
      <x:c r="V116" s="27"/>
    </x:row>
    <x:row r="117">
      <x:c r="R117" s="27"/>
      <x:c r="S117" s="27"/>
      <x:c r="U117" s="27"/>
      <x:c r="V117" s="27"/>
    </x:row>
    <x:row r="118">
      <x:c r="R118" s="27"/>
      <x:c r="S118" s="27"/>
      <x:c r="U118" s="27"/>
      <x:c r="V118" s="27"/>
    </x:row>
    <x:row r="119">
      <x:c r="R119" s="27"/>
      <x:c r="S119" s="27"/>
      <x:c r="U119" s="27"/>
      <x:c r="V119" s="27"/>
    </x:row>
    <x:row r="120">
      <x:c r="R120" s="27"/>
      <x:c r="S120" s="27"/>
      <x:c r="U120" s="27"/>
      <x:c r="V120" s="27"/>
    </x:row>
    <x:row r="121">
      <x:c r="R121" s="27"/>
      <x:c r="S121" s="27"/>
      <x:c r="U121" s="27"/>
      <x:c r="V121" s="27"/>
    </x:row>
    <x:row r="122">
      <x:c r="R122" s="27"/>
      <x:c r="S122" s="27"/>
      <x:c r="U122" s="27"/>
      <x:c r="V122" s="27"/>
    </x:row>
    <x:row r="123">
      <x:c r="R123" s="27"/>
      <x:c r="S123" s="27"/>
      <x:c r="U123" s="27"/>
      <x:c r="V123" s="27"/>
    </x:row>
    <x:row r="124">
      <x:c r="R124" s="27"/>
      <x:c r="S124" s="27"/>
      <x:c r="U124" s="27"/>
      <x:c r="V124" s="27"/>
    </x:row>
    <x:row r="125">
      <x:c r="R125" s="27"/>
      <x:c r="S125" s="27"/>
      <x:c r="U125" s="27"/>
      <x:c r="V125" s="27"/>
    </x:row>
    <x:row r="126">
      <x:c r="R126" s="27"/>
      <x:c r="S126" s="27"/>
      <x:c r="U126" s="27"/>
      <x:c r="V126" s="27"/>
    </x:row>
    <x:row r="127">
      <x:c r="R127" s="27"/>
      <x:c r="S127" s="27"/>
      <x:c r="U127" s="27"/>
      <x:c r="V127" s="27"/>
    </x:row>
    <x:row r="128">
      <x:c r="R128" s="27"/>
      <x:c r="S128" s="27"/>
      <x:c r="U128" s="27"/>
      <x:c r="V128" s="27"/>
    </x:row>
    <x:row r="129">
      <x:c r="R129" s="27"/>
      <x:c r="S129" s="27"/>
      <x:c r="U129" s="27"/>
      <x:c r="V129" s="27"/>
    </x:row>
    <x:row r="130">
      <x:c r="R130" s="27"/>
      <x:c r="S130" s="27"/>
      <x:c r="U130" s="27"/>
      <x:c r="V130" s="27"/>
    </x:row>
    <x:row r="131">
      <x:c r="R131" s="27"/>
      <x:c r="S131" s="27"/>
      <x:c r="U131" s="27"/>
      <x:c r="V131" s="27"/>
    </x:row>
    <x:row r="132">
      <x:c r="R132" s="27"/>
      <x:c r="S132" s="27"/>
      <x:c r="U132" s="27"/>
      <x:c r="V132" s="27"/>
    </x:row>
    <x:row r="133">
      <x:c r="R133" s="27"/>
      <x:c r="S133" s="27"/>
      <x:c r="U133" s="27"/>
      <x:c r="V133" s="27"/>
    </x:row>
    <x:row r="134">
      <x:c r="R134" s="27"/>
      <x:c r="S134" s="27"/>
      <x:c r="U134" s="27"/>
      <x:c r="V134" s="27"/>
    </x:row>
    <x:row r="135">
      <x:c r="R135" s="27"/>
      <x:c r="S135" s="27"/>
      <x:c r="U135" s="27"/>
      <x:c r="V135" s="27"/>
    </x:row>
    <x:row r="136">
      <x:c r="R136" s="27"/>
      <x:c r="S136" s="27"/>
      <x:c r="U136" s="27"/>
      <x:c r="V136" s="27"/>
    </x:row>
    <x:row r="137">
      <x:c r="R137" s="27"/>
      <x:c r="S137" s="27"/>
      <x:c r="U137" s="27"/>
      <x:c r="V137" s="27"/>
    </x:row>
    <x:row r="138">
      <x:c r="R138" s="27"/>
      <x:c r="S138" s="27"/>
      <x:c r="U138" s="27"/>
      <x:c r="V138" s="27"/>
    </x:row>
    <x:row r="139">
      <x:c r="R139" s="27"/>
      <x:c r="S139" s="27"/>
      <x:c r="U139" s="27"/>
      <x:c r="V139" s="27"/>
    </x:row>
    <x:row r="140">
      <x:c r="R140" s="27"/>
      <x:c r="S140" s="27"/>
      <x:c r="U140" s="27"/>
      <x:c r="V140" s="27"/>
    </x:row>
    <x:row r="141">
      <x:c r="R141" s="27"/>
      <x:c r="S141" s="27"/>
      <x:c r="U141" s="27"/>
      <x:c r="V141" s="27"/>
    </x:row>
    <x:row r="142">
      <x:c r="R142" s="27"/>
      <x:c r="S142" s="27"/>
      <x:c r="U142" s="27"/>
      <x:c r="V142" s="27"/>
    </x:row>
    <x:row r="143">
      <x:c r="R143" s="27"/>
      <x:c r="S143" s="27"/>
      <x:c r="U143" s="27"/>
      <x:c r="V143" s="27"/>
    </x:row>
    <x:row r="144">
      <x:c r="R144" s="27"/>
      <x:c r="S144" s="27"/>
      <x:c r="U144" s="27"/>
      <x:c r="V144" s="27"/>
    </x:row>
    <x:row r="145">
      <x:c r="R145" s="27"/>
      <x:c r="S145" s="27"/>
      <x:c r="U145" s="27"/>
      <x:c r="V145" s="27"/>
    </x:row>
    <x:row r="146">
      <x:c r="R146" s="27"/>
      <x:c r="S146" s="27"/>
      <x:c r="U146" s="27"/>
      <x:c r="V146" s="27"/>
    </x:row>
    <x:row r="147">
      <x:c r="R147" s="27"/>
      <x:c r="S147" s="27"/>
      <x:c r="U147" s="27"/>
      <x:c r="V147" s="27"/>
    </x:row>
    <x:row r="148">
      <x:c r="R148" s="27"/>
      <x:c r="S148" s="27"/>
      <x:c r="U148" s="27"/>
      <x:c r="V148" s="27"/>
    </x:row>
    <x:row r="149">
      <x:c r="R149" s="27"/>
      <x:c r="S149" s="27"/>
      <x:c r="U149" s="27"/>
      <x:c r="V149" s="27"/>
    </x:row>
    <x:row r="150">
      <x:c r="R150" s="27"/>
      <x:c r="S150" s="27"/>
      <x:c r="U150" s="27"/>
      <x:c r="V150" s="27"/>
    </x:row>
    <x:row r="151">
      <x:c r="R151" s="27"/>
      <x:c r="S151" s="27"/>
      <x:c r="U151" s="27"/>
      <x:c r="V151" s="27"/>
    </x:row>
    <x:row r="152">
      <x:c r="R152" s="27"/>
      <x:c r="S152" s="27"/>
      <x:c r="U152" s="27"/>
      <x:c r="V152" s="27"/>
    </x:row>
    <x:row r="153">
      <x:c r="R153" s="27"/>
      <x:c r="S153" s="27"/>
      <x:c r="U153" s="27"/>
      <x:c r="V153" s="27"/>
    </x:row>
    <x:row r="154">
      <x:c r="R154" s="27"/>
      <x:c r="S154" s="27"/>
      <x:c r="U154" s="27"/>
      <x:c r="V154" s="27"/>
    </x:row>
    <x:row r="155">
      <x:c r="R155" s="27"/>
      <x:c r="S155" s="27"/>
      <x:c r="U155" s="27"/>
      <x:c r="V155" s="27"/>
    </x:row>
    <x:row r="156">
      <x:c r="R156" s="27"/>
      <x:c r="S156" s="27"/>
      <x:c r="U156" s="27"/>
      <x:c r="V156" s="27"/>
    </x:row>
    <x:row r="157">
      <x:c r="R157" s="27"/>
      <x:c r="S157" s="27"/>
      <x:c r="U157" s="27"/>
      <x:c r="V157" s="27"/>
    </x:row>
    <x:row r="158">
      <x:c r="R158" s="27"/>
      <x:c r="S158" s="27"/>
      <x:c r="U158" s="27"/>
      <x:c r="V158" s="27"/>
    </x:row>
    <x:row r="159">
      <x:c r="R159" s="27"/>
      <x:c r="S159" s="27"/>
      <x:c r="U159" s="27"/>
      <x:c r="V159" s="27"/>
    </x:row>
    <x:row r="160">
      <x:c r="R160" s="27"/>
      <x:c r="S160" s="27"/>
      <x:c r="U160" s="27"/>
      <x:c r="V160" s="27"/>
    </x:row>
    <x:row r="161">
      <x:c r="R161" s="27"/>
      <x:c r="S161" s="27"/>
      <x:c r="U161" s="27"/>
      <x:c r="V161" s="27"/>
    </x:row>
    <x:row r="162">
      <x:c r="R162" s="27"/>
      <x:c r="S162" s="27"/>
      <x:c r="U162" s="27"/>
      <x:c r="V162" s="27"/>
    </x:row>
    <x:row r="163">
      <x:c r="R163" s="27"/>
      <x:c r="S163" s="27"/>
      <x:c r="U163" s="27"/>
      <x:c r="V163" s="27"/>
    </x:row>
    <x:row r="164">
      <x:c r="R164" s="27"/>
      <x:c r="S164" s="27"/>
      <x:c r="U164" s="27"/>
      <x:c r="V164" s="27"/>
    </x:row>
    <x:row r="165">
      <x:c r="R165" s="27"/>
      <x:c r="S165" s="27"/>
      <x:c r="U165" s="27"/>
      <x:c r="V165" s="27"/>
    </x:row>
    <x:row r="166">
      <x:c r="R166" s="27"/>
      <x:c r="S166" s="27"/>
      <x:c r="U166" s="27"/>
      <x:c r="V166" s="27"/>
    </x:row>
    <x:row r="167">
      <x:c r="R167" s="27"/>
      <x:c r="S167" s="27"/>
      <x:c r="U167" s="27"/>
      <x:c r="V167" s="27"/>
    </x:row>
    <x:row r="168">
      <x:c r="R168" s="27"/>
      <x:c r="S168" s="27"/>
      <x:c r="U168" s="27"/>
      <x:c r="V168" s="27"/>
    </x:row>
    <x:row r="169">
      <x:c r="R169" s="27"/>
      <x:c r="S169" s="27"/>
      <x:c r="U169" s="27"/>
      <x:c r="V169" s="27"/>
    </x:row>
    <x:row r="170">
      <x:c r="R170" s="27"/>
      <x:c r="S170" s="27"/>
      <x:c r="U170" s="27"/>
      <x:c r="V170" s="27"/>
    </x:row>
    <x:row r="171">
      <x:c r="R171" s="27"/>
      <x:c r="S171" s="27"/>
      <x:c r="U171" s="27"/>
      <x:c r="V171" s="27"/>
    </x:row>
    <x:row r="172">
      <x:c r="R172" s="27"/>
      <x:c r="S172" s="27"/>
      <x:c r="U172" s="27"/>
      <x:c r="V172" s="27"/>
    </x:row>
    <x:row r="173">
      <x:c r="R173" s="27"/>
      <x:c r="S173" s="27"/>
      <x:c r="U173" s="27"/>
      <x:c r="V173" s="27"/>
    </x:row>
    <x:row r="174">
      <x:c r="R174" s="27"/>
      <x:c r="S174" s="27"/>
      <x:c r="U174" s="27"/>
      <x:c r="V174" s="27"/>
    </x:row>
    <x:row r="175">
      <x:c r="R175" s="27"/>
      <x:c r="S175" s="27"/>
      <x:c r="U175" s="27"/>
      <x:c r="V175" s="27"/>
    </x:row>
    <x:row r="176">
      <x:c r="R176" s="27"/>
      <x:c r="S176" s="27"/>
      <x:c r="U176" s="27"/>
      <x:c r="V176" s="27"/>
    </x:row>
    <x:row r="177">
      <x:c r="R177" s="27"/>
      <x:c r="S177" s="27"/>
      <x:c r="U177" s="27"/>
      <x:c r="V177" s="27"/>
    </x:row>
    <x:row r="178">
      <x:c r="R178" s="27"/>
      <x:c r="S178" s="27"/>
      <x:c r="U178" s="27"/>
      <x:c r="V178" s="27"/>
    </x:row>
    <x:row r="179">
      <x:c r="R179" s="27"/>
      <x:c r="S179" s="27"/>
      <x:c r="U179" s="27"/>
      <x:c r="V179" s="27"/>
    </x:row>
    <x:row r="180">
      <x:c r="R180" s="27"/>
      <x:c r="S180" s="27"/>
      <x:c r="U180" s="27"/>
      <x:c r="V180" s="27"/>
    </x:row>
    <x:row r="181">
      <x:c r="R181" s="27"/>
      <x:c r="S181" s="27"/>
      <x:c r="U181" s="27"/>
      <x:c r="V181" s="27"/>
    </x:row>
    <x:row r="182">
      <x:c r="R182" s="27"/>
      <x:c r="S182" s="27"/>
      <x:c r="U182" s="27"/>
      <x:c r="V182" s="27"/>
    </x:row>
    <x:row r="183">
      <x:c r="R183" s="27"/>
      <x:c r="S183" s="27"/>
      <x:c r="U183" s="27"/>
      <x:c r="V183" s="27"/>
    </x:row>
    <x:row r="184">
      <x:c r="R184" s="27"/>
      <x:c r="S184" s="27"/>
      <x:c r="U184" s="27"/>
      <x:c r="V184" s="27"/>
    </x:row>
    <x:row r="185">
      <x:c r="R185" s="27"/>
      <x:c r="S185" s="27"/>
      <x:c r="U185" s="27"/>
      <x:c r="V185" s="27"/>
    </x:row>
    <x:row r="186">
      <x:c r="R186" s="27"/>
      <x:c r="S186" s="27"/>
      <x:c r="U186" s="27"/>
      <x:c r="V186" s="27"/>
    </x:row>
    <x:row r="187">
      <x:c r="R187" s="27"/>
      <x:c r="S187" s="27"/>
      <x:c r="U187" s="27"/>
      <x:c r="V187" s="27"/>
    </x:row>
    <x:row r="188">
      <x:c r="R188" s="27"/>
      <x:c r="S188" s="27"/>
      <x:c r="U188" s="27"/>
      <x:c r="V188" s="27"/>
    </x:row>
    <x:row r="189">
      <x:c r="R189" s="27"/>
      <x:c r="S189" s="27"/>
      <x:c r="U189" s="27"/>
      <x:c r="V189" s="27"/>
    </x:row>
    <x:row r="190">
      <x:c r="R190" s="27"/>
      <x:c r="S190" s="27"/>
      <x:c r="U190" s="27"/>
      <x:c r="V190" s="27"/>
    </x:row>
    <x:row r="191">
      <x:c r="R191" s="27"/>
      <x:c r="S191" s="27"/>
      <x:c r="U191" s="27"/>
      <x:c r="V191" s="27"/>
    </x:row>
    <x:row r="192">
      <x:c r="R192" s="27"/>
      <x:c r="S192" s="27"/>
      <x:c r="U192" s="27"/>
      <x:c r="V192" s="27"/>
    </x:row>
    <x:row r="193">
      <x:c r="R193" s="27"/>
      <x:c r="S193" s="27"/>
      <x:c r="U193" s="27"/>
      <x:c r="V193" s="27"/>
    </x:row>
    <x:row r="194">
      <x:c r="R194" s="27"/>
      <x:c r="S194" s="27"/>
      <x:c r="U194" s="27"/>
      <x:c r="V194" s="27"/>
    </x:row>
    <x:row r="195">
      <x:c r="R195" s="27"/>
      <x:c r="S195" s="27"/>
      <x:c r="U195" s="27"/>
      <x:c r="V195" s="27"/>
    </x:row>
    <x:row r="196">
      <x:c r="R196" s="27"/>
      <x:c r="S196" s="27"/>
      <x:c r="U196" s="27"/>
      <x:c r="V196" s="27"/>
    </x:row>
    <x:row r="197">
      <x:c r="R197" s="27"/>
      <x:c r="S197" s="27"/>
      <x:c r="U197" s="27"/>
      <x:c r="V197" s="27"/>
    </x:row>
    <x:row r="198">
      <x:c r="R198" s="27"/>
      <x:c r="S198" s="27"/>
      <x:c r="U198" s="27"/>
      <x:c r="V198" s="27"/>
    </x:row>
    <x:row r="199">
      <x:c r="R199" s="27"/>
      <x:c r="S199" s="27"/>
      <x:c r="U199" s="27"/>
      <x:c r="V199" s="27"/>
    </x:row>
    <x:row r="200">
      <x:c r="R200" s="27"/>
      <x:c r="S200" s="27"/>
      <x:c r="U200" s="27"/>
      <x:c r="V200" s="27"/>
    </x:row>
  </x:sheetData>
  <x:conditionalFormatting sqref="M2:M200">
    <x:cfRule type="expression" dxfId="0" priority="1">
      <x:formula>M2="Poor"</x:formula>
    </x:cfRule>
    <x:cfRule type="expression" dxfId="1" priority="2">
      <x:formula>M2="Failed"</x:formula>
    </x:cfRule>
  </x:conditionalFormatting>
  <x:conditionalFormatting sqref="N2:N200">
    <x:cfRule type="expression" dxfId="2" priority="3">
      <x:formula>N2="High"</x:formula>
    </x:cfRule>
  </x:conditionalFormatting>
  <x:conditionalFormatting sqref="O2:O200">
    <x:cfRule type="expression" dxfId="3" priority="4">
      <x:formula>O2="Out of service"</x:formula>
    </x:cfRule>
  </x:conditionalFormatting>
  <x:conditionalFormatting sqref="AA2:AA200">
    <x:cfRule type="expression" dxfId="4" priority="5">
      <x:formula>AA2="Urgent"</x:formula>
    </x:cfRule>
  </x:conditionalFormatting>
  <x:conditionalFormatting sqref="S2:S200">
    <x:cfRule type="expression" dxfId="5" priority="6">
      <x:formula>AND(S2&lt;&gt;"",S2&lt;TODAY())</x:formula>
    </x:cfRule>
  </x:conditionalFormatting>
  <x:dataValidations count="8">
    <x:dataValidation type="list" allowBlank="1" sqref="M2:M201">
      <x:formula1>"Excellent,Good,Fair,Poor,Replace"</x:formula1>
    </x:dataValidation>
    <x:dataValidation type="list" allowBlank="1" sqref="N2:N201">
      <x:formula1>"Weekly,Monthly,Quarterly,6 Monthly,Annual,As Required"</x:formula1>
    </x:dataValidation>
    <x:dataValidation type="list" allowBlank="1" sqref="O2:O201">
      <x:formula1>"Live,Isolated,Out of Service,Planned Replacement"</x:formula1>
    </x:dataValidation>
    <x:dataValidation type="list" sqref="M2:M200">
      <x:formula1>"Good,Satisfactory,Poor,Failed,Not assessed"</x:formula1>
    </x:dataValidation>
    <x:dataValidation type="list" sqref="N2:N200">
      <x:formula1>"High,Medium,Low"</x:formula1>
    </x:dataValidation>
    <x:dataValidation type="list" sqref="O2:O200">
      <x:formula1>"Operational,Operational - verify,Out of service,Standby,Under repair,Removed"</x:formula1>
    </x:dataValidation>
    <x:dataValidation type="list" sqref="P2:P200">
      <x:formula1>"Monthly,Quarterly,6 monthly,Annual,6 monthly visual / annual service,Manufacturer requirement,None / N/A"</x:formula1>
    </x:dataValidation>
    <x:dataValidation type="list" sqref="AA2:AA200">
      <x:formula1>"None,Monitor,Plan,Urgent,Assess"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ad5636e18941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 ht="18.75">
      <x:c r="A1" s="32" t="str">
        <x:v>Lime Wood Asset Register - Completion Guide</x:v>
      </x:c>
      <x:c r="B1" s="32"/>
      <x:c r="C1" s="32"/>
      <x:c r="D1" s="32"/>
      <x:c r="E1" s="32"/>
      <x:c r="F1" s="32"/>
      <x:c r="G1" s="32"/>
      <x:c r="H1" s="32"/>
    </x:row>
    <x:row r="3" ht="34" customHeight="1">
      <x:c r="A3" s="58" t="str">
        <x:v>Field</x:v>
      </x:c>
      <x:c r="B3" s="58" t="str">
        <x:v>How to complete</x:v>
      </x:c>
    </x:row>
    <x:row r="4" ht="34" customHeight="1">
      <x:c r="A4" s="70" t="str">
        <x:v>Asset ID</x:v>
      </x:c>
      <x:c r="B4" s="18" t="str">
        <x:v>Use the fixed site tag shown on the asset, for example P/SH/1. Do not create duplicate IDs.</x:v>
      </x:c>
    </x:row>
    <x:row r="5" ht="34" customHeight="1">
      <x:c r="A5" s="70" t="str">
        <x:v>System</x:v>
      </x:c>
      <x:c r="B5" s="18" t="str">
        <x:v>Name the connected system, for example LTHW heating, DHW secondary return or mains cold water.</x:v>
      </x:c>
    </x:row>
    <x:row r="6" ht="34" customHeight="1">
      <x:c r="A6" s="70" t="str">
        <x:v>Service / Duty</x:v>
      </x:c>
      <x:c r="B6" s="18" t="str">
        <x:v>State the asset function and whether it is duty, standby or common equipment.</x:v>
      </x:c>
    </x:row>
    <x:row r="7" ht="34" customHeight="1">
      <x:c r="A7" s="70" t="str">
        <x:v>Exact Location</x:v>
      </x:c>
      <x:c r="B7" s="18" t="str">
        <x:v>Use a repeatable description, such as north wall, low level, left of calorifier 1.</x:v>
      </x:c>
    </x:row>
    <x:row r="8" ht="34" customHeight="1">
      <x:c r="A8" s="70" t="str">
        <x:v>Condition</x:v>
      </x:c>
      <x:c r="B8" s="18" t="str">
        <x:v>Assess Good, Satisfactory, Poor, Failed or Not assessed.</x:v>
      </x:c>
    </x:row>
    <x:row r="9" ht="34" customHeight="1">
      <x:c r="A9" s="70" t="str">
        <x:v>Criticality</x:v>
      </x:c>
      <x:c r="B9" s="18" t="str">
        <x:v>High means loss significantly affects hotel operation, safety or compliance.</x:v>
      </x:c>
    </x:row>
    <x:row r="10" ht="34" customHeight="1">
      <x:c r="A10" s="70" t="str">
        <x:v>PPM Frequency</x:v>
      </x:c>
      <x:c r="B10" s="18" t="str">
        <x:v>Use the manufacturer and statutory requirements. The current entries are initial recommendations.</x:v>
      </x:c>
    </x:row>
    <x:row r="11" ht="34" customHeight="1">
      <x:c r="A11" s="70" t="str">
        <x:v>Statutory / Compliance</x:v>
      </x:c>
      <x:c r="B11" s="18" t="str">
        <x:v>Record PSSR, Gas Safety, electrical inspection, water hygiene or other requirements.</x:v>
      </x:c>
    </x:row>
    <x:row r="12" ht="34" customHeight="1">
      <x:c r="A12" s="70" t="str">
        <x:v>Last / Next Service</x:v>
      </x:c>
      <x:c r="B12" s="18" t="str">
        <x:v>Enter the last service date. Next Service Due calculates for common frequencies.</x:v>
      </x:c>
    </x:row>
    <x:row r="13" ht="34" customHeight="1">
      <x:c r="A13" s="70" t="str">
        <x:v>Isolation Reference</x:v>
      </x:c>
      <x:c r="B13" s="18" t="str">
        <x:v>Record valve tags, local electrical isolator and distribution board/circuit references.</x:v>
      </x:c>
    </x:row>
    <x:row r="14" ht="34" customHeight="1">
      <x:c r="A14" s="70" t="str">
        <x:v>Photo / Manual Ref</x:v>
      </x:c>
      <x:c r="B14" s="18" t="str">
        <x:v>Use exact filenames, QR references or document locations so evidence can be found quickly.</x:v>
      </x:c>
    </x:row>
    <x:row r="15" ht="34" customHeight="1">
      <x:c r="A15" s="70" t="str">
        <x:v>Replacement</x:v>
      </x:c>
      <x:c r="B15" s="18" t="str">
        <x:v>Assess priority and estimated replacement year after condition and lifecycle review.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4" max="4" width="20" hidden="0" customWidth="1"/>
    <x:col min="5" max="5" width="8" hidden="0" customWidth="1"/>
    <x:col min="6" max="6" width="12" hidden="0" customWidth="1"/>
    <x:col min="7" max="7" width="23" hidden="0" customWidth="1"/>
    <x:col min="8" max="8" width="38" hidden="0" customWidth="1"/>
  </x:cols>
  <x:sheetData>
    <x:row r="1" ht="30" customHeight="1">
      <x:c r="A1" s="32" t="str">
        <x:v>Staff House Boiler Room - Asset Register Summary</x:v>
      </x:c>
      <x:c r="B1" s="32"/>
      <x:c r="C1" s="32"/>
      <x:c r="D1" s="32"/>
      <x:c r="E1" s="32"/>
      <x:c r="F1" s="32"/>
      <x:c r="G1" s="32"/>
      <x:c r="H1" s="32"/>
    </x:row>
    <x:row r="3">
      <x:c r="A3" s="46" t="str">
        <x:v>Register Metric</x:v>
      </x:c>
      <x:c r="B3" s="47" t="str">
        <x:v>Value</x:v>
      </x:c>
      <x:c r="D3" s="59" t="str">
        <x:v>Equipment Type</x:v>
      </x:c>
      <x:c r="E3" s="59" t="str">
        <x:v>Qty</x:v>
      </x:c>
      <x:c r="F3" s="59" t="str">
        <x:v>Criticality</x:v>
      </x:c>
      <x:c r="G3" s="59" t="str">
        <x:v>PPM</x:v>
      </x:c>
      <x:c r="H3" s="59" t="str">
        <x:v>Action</x:v>
      </x:c>
    </x:row>
    <x:row r="4">
      <x:c r="A4" s="48" t="str">
        <x:v>Total assets</x:v>
      </x:c>
      <x:c r="B4" s="49" t="n">
        <x:f>COUNTA('Asset Register'!A2:A200)</x:f>
        <x:v>26</x:v>
      </x:c>
      <x:c r="D4" s="18" t="str">
        <x:v>Boiler</x:v>
      </x:c>
      <x:c r="E4" s="18" t="n">
        <x:v>3</x:v>
      </x:c>
      <x:c r="F4" s="18" t="str">
        <x:v>High</x:v>
      </x:c>
      <x:c r="G4" s="18" t="str">
        <x:v>Annual</x:v>
      </x:c>
      <x:c r="H4" s="18" t="str">
        <x:v>Confirm gas service history and controls</x:v>
      </x:c>
    </x:row>
    <x:row r="5">
      <x:c r="A5" s="48" t="str">
        <x:v>High criticality</x:v>
      </x:c>
      <x:c r="B5" s="49" t="n">
        <x:f>COUNTIF('Asset Register'!N2:N200,"High")</x:f>
        <x:v>9</x:v>
      </x:c>
      <x:c r="D5" s="18" t="str">
        <x:v>Pump</x:v>
      </x:c>
      <x:c r="E5" s="18" t="n">
        <x:v>11</x:v>
      </x:c>
      <x:c r="F5" s="18" t="str">
        <x:v>Medium</x:v>
      </x:c>
      <x:c r="G5" s="18" t="str">
        <x:v>6-month visual / annual</x:v>
      </x:c>
      <x:c r="H5" s="18" t="str">
        <x:v>Confirm duty, system and isolation references</x:v>
      </x:c>
    </x:row>
    <x:row r="6">
      <x:c r="A6" s="48" t="str">
        <x:v>Condition not assessed</x:v>
      </x:c>
      <x:c r="B6" s="49" t="n">
        <x:f>COUNTIF('Asset Register'!M2:M200,"Not assessed")</x:f>
        <x:v>26</x:v>
      </x:c>
      <x:c r="D6" s="18" t="str">
        <x:v>Calorifier</x:v>
      </x:c>
      <x:c r="E6" s="18" t="n">
        <x:v>3</x:v>
      </x:c>
      <x:c r="F6" s="18" t="str">
        <x:v>High</x:v>
      </x:c>
      <x:c r="G6" s="18" t="str">
        <x:v>Annual</x:v>
      </x:c>
      <x:c r="H6" s="18" t="str">
        <x:v>Confirm vessel details and written scheme status</x:v>
      </x:c>
    </x:row>
    <x:row r="7">
      <x:c r="A7" s="48" t="str">
        <x:v>Operational status to verify</x:v>
      </x:c>
      <x:c r="B7" s="49" t="n">
        <x:f>COUNTIF('Asset Register'!O2:O200,"Operational - verify")</x:f>
        <x:v>26</x:v>
      </x:c>
      <x:c r="D7" s="18" t="str">
        <x:v>Expansion Vessel</x:v>
      </x:c>
      <x:c r="E7" s="18" t="n">
        <x:v>3</x:v>
      </x:c>
      <x:c r="F7" s="18" t="str">
        <x:v>Medium</x:v>
      </x:c>
      <x:c r="G7" s="18" t="str">
        <x:v>Annual</x:v>
      </x:c>
      <x:c r="H7" s="18" t="str">
        <x:v>Record size, pre-charge and connected system</x:v>
      </x:c>
    </x:row>
    <x:row r="8">
      <x:c r="A8" s="48" t="str">
        <x:v>Missing model / serial details</x:v>
      </x:c>
      <x:c r="B8" s="49" t="n">
        <x:f>COUNTIF('Asset Register'!G2:G200,"Unknown")+COUNTIF('Asset Register'!H2:H200,"Unknown")</x:f>
        <x:v>7</x:v>
      </x:c>
      <x:c r="D8" s="18" t="str">
        <x:v>Pressurisation Unit</x:v>
      </x:c>
      <x:c r="E8" s="18" t="n">
        <x:v>2</x:v>
      </x:c>
      <x:c r="F8" s="18" t="str">
        <x:v>High</x:v>
      </x:c>
      <x:c r="G8" s="18" t="str">
        <x:v>Annual</x:v>
      </x:c>
      <x:c r="H8" s="18" t="str">
        <x:v>Record set pressures and expansion vessel details</x:v>
      </x:c>
    </x:row>
    <x:row r="9">
      <x:c r="A9" s="50" t="str">
        <x:v>Overdue PPM</x:v>
      </x:c>
      <x:c r="B9" s="51" t="n">
        <x:f>COUNTIFS('Asset Register'!R2:R200,"&lt;&gt;",'Asset Register'!S2:S200,"&lt;"&amp;TODAY())</x:f>
        <x:v>0</x:v>
      </x:c>
      <x:c r="D9" s="18" t="str">
        <x:v>Heat Exchanger</x:v>
      </x:c>
      <x:c r="E9" s="18" t="n">
        <x:v>1</x:v>
      </x:c>
      <x:c r="F9" s="18" t="str">
        <x:v>High</x:v>
      </x:c>
      <x:c r="G9" s="18" t="str">
        <x:v>Annual</x:v>
      </x:c>
      <x:c r="H9" s="18" t="str">
        <x:v>Confirm primary/secondary circuits and design duty</x:v>
      </x:c>
    </x:row>
    <x:row r="10">
      <x:c r="D10" s="18" t="str">
        <x:v>Water Conditioner</x:v>
      </x:c>
      <x:c r="E10" s="18" t="n">
        <x:v>1</x:v>
      </x:c>
      <x:c r="F10" s="18" t="str">
        <x:v>Medium</x:v>
      </x:c>
      <x:c r="G10" s="18" t="str">
        <x:v>6 monthly</x:v>
      </x:c>
      <x:c r="H10" s="18" t="str">
        <x:v>Confirm technology, consumables and service regime</x:v>
      </x:c>
    </x:row>
    <x:row r="12">
      <x:c r="A12" s="64" t="str">
        <x:v>Immediate survey information still required</x:v>
      </x:c>
      <x:c r="B12" s="64"/>
      <x:c r="C12" s="64"/>
      <x:c r="D12" s="64"/>
      <x:c r="E12" s="64"/>
      <x:c r="F12" s="64"/>
      <x:c r="G12" s="64"/>
      <x:c r="H12" s="64"/>
    </x:row>
    <x:row r="13" ht="24" customHeight="1">
      <x:c r="A13" s="18" t="str">
        <x:v>1. Confirm each asset's connected system and duty, including duty/standby relationships.</x:v>
      </x:c>
      <x:c r="B13" s="18"/>
      <x:c r="C13" s="18"/>
      <x:c r="D13" s="18"/>
      <x:c r="E13" s="18"/>
      <x:c r="F13" s="18"/>
      <x:c r="G13" s="18"/>
      <x:c r="H13" s="18"/>
    </x:row>
    <x:row r="14" ht="24" customHeight="1">
      <x:c r="A14" s="18" t="str">
        <x:v>2. Record pipe sizes, electrical supplies, local isolators and distribution board references.</x:v>
      </x:c>
      <x:c r="B14" s="18"/>
      <x:c r="C14" s="18"/>
      <x:c r="D14" s="18"/>
      <x:c r="E14" s="18"/>
      <x:c r="F14" s="18"/>
      <x:c r="G14" s="18"/>
      <x:c r="H14" s="18"/>
    </x:row>
    <x:row r="15" ht="24" customHeight="1">
      <x:c r="A15" s="18" t="str">
        <x:v>3. Add installation dates, last service dates, service providers and certificates.</x:v>
      </x:c>
      <x:c r="B15" s="18"/>
      <x:c r="C15" s="18"/>
      <x:c r="D15" s="18"/>
      <x:c r="E15" s="18"/>
      <x:c r="F15" s="18"/>
      <x:c r="G15" s="18"/>
      <x:c r="H15" s="18"/>
    </x:row>
    <x:row r="16" ht="24" customHeight="1">
      <x:c r="A16" s="18" t="str">
        <x:v>4. Photograph each asset and enter the photo filename/reference.</x:v>
      </x:c>
      <x:c r="B16" s="18"/>
      <x:c r="C16" s="18"/>
      <x:c r="D16" s="18"/>
      <x:c r="E16" s="18"/>
      <x:c r="F16" s="18"/>
      <x:c r="G16" s="18"/>
      <x:c r="H16" s="18"/>
    </x:row>
    <x:row r="17" ht="24" customHeight="1">
      <x:c r="A17" s="18" t="str">
        <x:v>5. Confirm PSSR written-scheme applicability for pressure equipment and calorifiers.</x:v>
      </x:c>
      <x:c r="B17" s="18"/>
      <x:c r="C17" s="18"/>
      <x:c r="D17" s="18"/>
      <x:c r="E17" s="18"/>
      <x:c r="F17" s="18"/>
      <x:c r="G17" s="18"/>
      <x:c r="H17" s="18"/>
    </x:row>
    <x:row r="18" ht="24" customHeight="1">
      <x:c r="A18" s="18" t="str">
        <x:v>6. Assess condition, remaining life, replacement priority and indicative replacement year.</x:v>
      </x:c>
      <x:c r="B18" s="18"/>
      <x:c r="C18" s="18"/>
      <x:c r="D18" s="18"/>
      <x:c r="E18" s="18"/>
      <x:c r="F18" s="18"/>
      <x:c r="G18" s="18"/>
      <x:c r="H18" s="18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